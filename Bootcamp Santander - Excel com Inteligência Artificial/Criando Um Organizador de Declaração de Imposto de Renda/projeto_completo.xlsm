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Meus Documentos\Cursos\DIO\Bootcamp Santander - Excel com Inteligência Artificial\Criando Um Organizador de Declaração de Imposto de Renda\"/>
    </mc:Choice>
  </mc:AlternateContent>
  <xr:revisionPtr revIDLastSave="0" documentId="13_ncr:1_{D25D92BD-1CFF-4242-BA33-E238F5A8F31E}" xr6:coauthVersionLast="47" xr6:coauthVersionMax="47" xr10:uidLastSave="{00000000-0000-0000-0000-000000000000}"/>
  <bookViews>
    <workbookView xWindow="-108" yWindow="-108" windowWidth="23256" windowHeight="12456" tabRatio="716" activeTab="1" xr2:uid="{21AF5686-43DE-436F-830C-EAB08FC5D1D8}"/>
  </bookViews>
  <sheets>
    <sheet name="TITULAR" sheetId="1" r:id="rId1"/>
    <sheet name="INFORMES" sheetId="2" r:id="rId2"/>
    <sheet name="NOTAS" sheetId="3" r:id="rId3"/>
    <sheet name="BD_TITULAR" sheetId="6" r:id="rId4"/>
    <sheet name="BD_INFORMES" sheetId="7" r:id="rId5"/>
    <sheet name="TABELAS" sheetId="5" state="hidden" r:id="rId6"/>
  </sheets>
  <definedNames>
    <definedName name="_xlcn.WorksheetConnection_projeto_completo.xlsmBD_TITULAR1" hidden="1">BD_TITULAR[]</definedName>
  </definedNames>
  <calcPr calcId="191029"/>
  <pivotCaches>
    <pivotCache cacheId="424" r:id="rId7"/>
    <pivotCache cacheId="431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D_TITULAR" name="BD_TITULAR" connection="WorksheetConnection_projeto_completo.xlsm!BD_TITULAR"/>
        </x15:modelTables>
        <x15:extLst>
          <ext xmlns:x16="http://schemas.microsoft.com/office/spreadsheetml/2014/11/main" uri="{9835A34E-60A6-4A7C-AAB8-D5F71C897F49}">
            <x16:modelTimeGroupings>
              <x16:modelTimeGrouping tableName="BD_TITULAR" columnName="DATA e HORA" columnId="DATA e HORA">
                <x16:calculatedTimeColumn columnName="DATA e HORA (Hora)" columnId="DATA e HORA (Hora)" contentType="hours" isSelected="1"/>
                <x16:calculatedTimeColumn columnName="DATA e HORA (Minuto)" columnId="DATA e HORA (Minuto)" contentType="minutes" isSelected="1"/>
                <x16:calculatedTimeColumn columnName="DATA e HORA (Segundo)" columnId="DATA e HORA (Segundo)" contentType="second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026852-F344-44AD-9E03-8F6DCE80AFCD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BD19A7A-9216-49BD-AF26-4256F455C0CB}" name="WorksheetConnection_projeto_completo.xlsm!BD_TITULAR" type="102" refreshedVersion="8" minRefreshableVersion="5">
    <extLst>
      <ext xmlns:x15="http://schemas.microsoft.com/office/spreadsheetml/2010/11/main" uri="{DE250136-89BD-433C-8126-D09CA5730AF9}">
        <x15:connection id="BD_TITULAR" autoDelete="1">
          <x15:rangePr sourceName="_xlcn.WorksheetConnection_projeto_completo.xlsmBD_TITULAR1"/>
        </x15:connection>
      </ext>
    </extLst>
  </connection>
</connections>
</file>

<file path=xl/sharedStrings.xml><?xml version="1.0" encoding="utf-8"?>
<sst xmlns="http://schemas.openxmlformats.org/spreadsheetml/2006/main" count="160" uniqueCount="93">
  <si>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</si>
  <si>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</si>
  <si>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</si>
  <si>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</si>
  <si>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</si>
  <si>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</si>
  <si>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</si>
  <si>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</si>
  <si>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</si>
  <si>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</si>
  <si>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</si>
  <si>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</si>
  <si>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</si>
  <si>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</si>
  <si>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TÍTULAR</t>
  </si>
  <si>
    <t>preencha os dados da sua pessoa física abaixo</t>
  </si>
  <si>
    <t>SIM</t>
  </si>
  <si>
    <t>NÃO</t>
  </si>
  <si>
    <t>FELIPE SKYWALKER NOBUNAGA</t>
  </si>
  <si>
    <t>felipe@dio.me</t>
  </si>
  <si>
    <t>Rua Dos limoeiros. R, - Nº 180</t>
  </si>
  <si>
    <t>Rua Dos limoeiros. Ruan, - Nº 180</t>
  </si>
  <si>
    <t>Mia Goth</t>
  </si>
  <si>
    <t>2. INFORMES DE RENDIMENTOS BANCÁRIOS</t>
  </si>
  <si>
    <t>BANCO</t>
  </si>
  <si>
    <t>Preencha com seus dados atuais de cada banco</t>
  </si>
  <si>
    <t>VALOR ATUAL</t>
  </si>
  <si>
    <t>ANEXO 🖇️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</si>
  <si>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</si>
  <si>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</si>
  <si>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</si>
  <si>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</si>
  <si>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</si>
  <si>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</si>
  <si>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</si>
  <si>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</si>
  <si>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</si>
  <si>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</si>
  <si>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</si>
  <si>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</si>
  <si>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</si>
  <si>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</si>
  <si>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</si>
  <si>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</si>
  <si>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</si>
  <si>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</si>
  <si>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</si>
  <si>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</si>
  <si>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</si>
  <si>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</si>
  <si>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</si>
  <si>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</si>
  <si>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</si>
  <si>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</si>
  <si>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</si>
  <si>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</si>
  <si>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</si>
  <si>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</si>
  <si>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</si>
  <si>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</si>
  <si>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</si>
  <si>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</si>
  <si>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</si>
  <si>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</si>
  <si>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</si>
  <si>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</si>
  <si>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</si>
  <si>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</si>
  <si>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</si>
  <si>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</si>
  <si>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</si>
  <si>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</si>
  <si>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</si>
  <si>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</si>
  <si>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</si>
  <si>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</si>
  <si>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</si>
  <si>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</si>
  <si>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</si>
  <si>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topazao_2025.pdf</t>
  </si>
  <si>
    <t>São todos os valores de entrada mês a mês de receita</t>
  </si>
  <si>
    <t>3. NOTAS BANCÁRIAS OU EXTRATO DE HOLERITES</t>
  </si>
  <si>
    <t>DATA</t>
  </si>
  <si>
    <t>CATEGORIA</t>
  </si>
  <si>
    <t>VALOR</t>
  </si>
  <si>
    <t>ENTRADAS</t>
  </si>
  <si>
    <t>HOLERITE</t>
  </si>
  <si>
    <t>ID</t>
  </si>
  <si>
    <t>Total Geral</t>
  </si>
  <si>
    <t>DECLARAÇÕES SALVAS</t>
  </si>
  <si>
    <t>DATA e HORA</t>
  </si>
  <si>
    <t>INFORMES DE RENDIMENTOS BANCÁRIOS CADASTRADOS</t>
  </si>
  <si>
    <t xml:space="preserve"> VALOR ATUAL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</si>
</sst>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000&quot;.&quot;000&quot;.&quot;000&quot;-&quot;00"/>
    <numFmt numFmtId="165" formatCode="00000\-000"/>
    <numFmt numFmtId="166" formatCode="&quot;(&quot;00&quot;) &quot;0000&quot;-&quot;0000"/>
    <numFmt numFmtId="167" formatCode="&quot;(&quot;00&quot;) &quot;00000&quot;-&quot;0000"/>
    <numFmt numFmtId="168" formatCode="&quot;R$&quot;\ #,##0.00"/>
    <numFmt numFmtId="169" formatCode="mmmm\-yyyy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Segoe UI"/>
      <family val="2"/>
    </font>
    <font>
      <sz val="11"/>
      <color theme="1"/>
      <name val="Segoe UI Light"/>
      <family val="2"/>
    </font>
    <font>
      <b/>
      <sz val="15"/>
      <color rgb="FF7030A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i/>
      <sz val="11"/>
      <color theme="2" tint="-0.749992370372631"/>
      <name val="Aptos Narrow"/>
      <family val="2"/>
      <scheme val="minor"/>
    </font>
    <font>
      <sz val="8"/>
      <color theme="2" tint="-0.499984740745262"/>
      <name val="Aptos Narrow"/>
      <family val="2"/>
      <scheme val="minor"/>
    </font>
    <font>
      <b/>
      <sz val="11"/>
      <color theme="0"/>
      <name val="Segoe UI Light"/>
      <family val="2"/>
    </font>
    <font>
      <b/>
      <sz val="10"/>
      <color theme="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0E131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E37BF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rgb="FFEE37BF"/>
      </bottom>
      <diagonal/>
    </border>
    <border>
      <left/>
      <right/>
      <top style="thick">
        <color rgb="FFEE37BF"/>
      </top>
      <bottom/>
      <diagonal/>
    </border>
    <border>
      <left/>
      <right/>
      <top/>
      <bottom style="thin">
        <color theme="0" tint="-0.2499465926084170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8" fillId="0" borderId="0" applyNumberFormat="0" applyFill="0" applyBorder="0" applyAlignment="0" applyProtection="0"/>
  </cellStyleXfs>
  <cellXfs count="35">
    <xf numFmtId="0" fontId="0" fillId="0" borderId="0" xfId="0"/>
    <xf numFmtId="0" fontId="0" fillId="3" borderId="0" xfId="0" applyFill="1"/>
    <xf numFmtId="0" fontId="7" fillId="0" borderId="3" xfId="2" applyFont="1" applyBorder="1"/>
    <xf numFmtId="0" fontId="2" fillId="0" borderId="3" xfId="2" applyBorder="1"/>
    <xf numFmtId="0" fontId="4" fillId="5" borderId="0" xfId="0" applyFont="1" applyFill="1"/>
    <xf numFmtId="0" fontId="10" fillId="0" borderId="0" xfId="0" applyFont="1"/>
    <xf numFmtId="0" fontId="12" fillId="0" borderId="0" xfId="0" applyFont="1" applyAlignment="1">
      <alignment horizontal="center"/>
    </xf>
    <xf numFmtId="169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68" fontId="5" fillId="0" borderId="0" xfId="0" applyNumberFormat="1" applyFont="1" applyAlignment="1" applyProtection="1">
      <alignment horizontal="center"/>
      <protection locked="0"/>
    </xf>
    <xf numFmtId="0" fontId="9" fillId="4" borderId="4" xfId="0" applyFont="1" applyFill="1" applyBorder="1" applyAlignment="1">
      <alignment horizontal="left" vertical="center" indent="3"/>
    </xf>
    <xf numFmtId="0" fontId="11" fillId="6" borderId="0" xfId="0" applyFont="1" applyFill="1" applyAlignment="1">
      <alignment horizontal="center"/>
    </xf>
    <xf numFmtId="14" fontId="0" fillId="0" borderId="0" xfId="0" applyNumberFormat="1"/>
    <xf numFmtId="0" fontId="6" fillId="0" borderId="5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pivotButton="1"/>
    <xf numFmtId="164" fontId="0" fillId="0" borderId="0" xfId="0" applyNumberFormat="1"/>
    <xf numFmtId="167" fontId="0" fillId="0" borderId="0" xfId="0" applyNumberFormat="1"/>
    <xf numFmtId="22" fontId="0" fillId="0" borderId="0" xfId="0" applyNumberFormat="1"/>
    <xf numFmtId="0" fontId="6" fillId="0" borderId="2" xfId="0" applyFont="1" applyBorder="1" applyAlignment="1">
      <alignment horizontal="right"/>
    </xf>
    <xf numFmtId="0" fontId="3" fillId="2" borderId="0" xfId="3" applyBorder="1" applyAlignment="1" applyProtection="1">
      <alignment horizontal="left"/>
      <protection locked="0"/>
    </xf>
    <xf numFmtId="164" fontId="3" fillId="2" borderId="0" xfId="3" applyNumberFormat="1" applyBorder="1" applyAlignment="1" applyProtection="1">
      <alignment horizontal="left"/>
      <protection locked="0"/>
    </xf>
    <xf numFmtId="14" fontId="3" fillId="2" borderId="0" xfId="3" applyNumberFormat="1" applyBorder="1" applyAlignment="1" applyProtection="1">
      <alignment horizontal="left"/>
      <protection locked="0"/>
    </xf>
    <xf numFmtId="165" fontId="3" fillId="2" borderId="0" xfId="3" applyNumberFormat="1" applyBorder="1" applyAlignment="1" applyProtection="1">
      <alignment horizontal="left"/>
      <protection locked="0"/>
    </xf>
    <xf numFmtId="166" fontId="3" fillId="2" borderId="0" xfId="3" applyNumberFormat="1" applyBorder="1" applyAlignment="1" applyProtection="1">
      <alignment horizontal="left"/>
      <protection locked="0"/>
    </xf>
    <xf numFmtId="167" fontId="3" fillId="2" borderId="0" xfId="3" applyNumberFormat="1" applyBorder="1" applyAlignment="1" applyProtection="1">
      <alignment horizontal="left"/>
      <protection locked="0"/>
    </xf>
    <xf numFmtId="0" fontId="8" fillId="2" borderId="0" xfId="4" applyFill="1" applyBorder="1" applyAlignment="1" applyProtection="1">
      <alignment horizontal="left"/>
      <protection locked="0"/>
    </xf>
    <xf numFmtId="0" fontId="9" fillId="4" borderId="0" xfId="0" applyFont="1" applyFill="1" applyBorder="1" applyAlignment="1">
      <alignment horizontal="left" vertical="center"/>
    </xf>
    <xf numFmtId="0" fontId="7" fillId="0" borderId="3" xfId="2" applyFont="1" applyBorder="1" applyAlignment="1">
      <alignment horizontal="left" vertical="center"/>
    </xf>
    <xf numFmtId="0" fontId="6" fillId="0" borderId="2" xfId="0" applyFont="1" applyBorder="1" applyAlignment="1">
      <alignment horizontal="left"/>
    </xf>
    <xf numFmtId="7" fontId="0" fillId="0" borderId="0" xfId="0" applyNumberFormat="1"/>
    <xf numFmtId="168" fontId="0" fillId="0" borderId="0" xfId="0" applyNumberFormat="1"/>
    <xf numFmtId="0" fontId="3" fillId="2" borderId="0" xfId="3" applyBorder="1" applyAlignment="1" applyProtection="1">
      <alignment horizontal="left" vertical="center"/>
      <protection locked="0"/>
    </xf>
    <xf numFmtId="168" fontId="3" fillId="2" borderId="0" xfId="1" applyNumberFormat="1" applyFont="1" applyFill="1" applyBorder="1" applyAlignment="1" applyProtection="1">
      <alignment horizontal="left" vertical="center"/>
      <protection locked="0"/>
    </xf>
    <xf numFmtId="0" fontId="6" fillId="0" borderId="2" xfId="0" applyFont="1" applyBorder="1" applyAlignment="1">
      <alignment horizontal="right" vertical="center"/>
    </xf>
  </cellXfs>
  <cellStyles count="5">
    <cellStyle name="Hiperlink" xfId="4" builtinId="8"/>
    <cellStyle name="Moeda" xfId="1" builtinId="4"/>
    <cellStyle name="Neutro" xfId="3" builtinId="28"/>
    <cellStyle name="Normal" xfId="0" builtinId="0"/>
    <cellStyle name="Título 1" xfId="2" builtinId="16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left" vertical="center" textRotation="0" wrapText="0" indent="0" justifyLastLine="0" shrinkToFit="0" readingOrder="0"/>
    </dxf>
    <dxf>
      <numFmt numFmtId="19" formatCode="dd/mm/yyyy"/>
    </dxf>
    <dxf>
      <border outline="0">
        <bottom style="thin">
          <color rgb="FFBFBFBF"/>
        </bottom>
      </border>
    </dxf>
    <dxf>
      <border outline="0">
        <top style="thin">
          <color rgb="FFBFBFBF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left" vertical="center" textRotation="0" wrapText="0" indent="0" justifyLastLine="0" shrinkToFit="0" readingOrder="0"/>
    </dxf>
    <dxf>
      <numFmt numFmtId="19" formatCode="dd/mm/yyyy"/>
    </dxf>
    <dxf>
      <border outline="0">
        <bottom style="thin">
          <color theme="0" tint="-0.24994659260841701"/>
        </bottom>
      </border>
    </dxf>
    <dxf>
      <border outline="0">
        <top style="thin">
          <color theme="0" tint="-0.24994659260841701"/>
        </top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&quot;R$&quot;\ #,##0.00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E37BF"/>
      <color rgb="FF6124E8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felipeaguiar-exe/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hyperlink" Target="https://www.linkedin.com/in/felipeaguiar-exe/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A1"/><Relationship Id="rId1" Type="http://schemas.openxmlformats.org/officeDocument/2006/relationships/image" Target="../media/image4.png"/><Relationship Id="rId6" Type="http://schemas.openxmlformats.org/officeDocument/2006/relationships/image" Target="../media/image5.png"/><Relationship Id="rId5" Type="http://schemas.openxmlformats.org/officeDocument/2006/relationships/hyperlink" Target="https://www.linkedin.com/in/felipeaguiar-exe/" TargetMode="External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612275</xdr:colOff>
      <xdr:row>2</xdr:row>
      <xdr:rowOff>171450</xdr:rowOff>
    </xdr:from>
    <xdr:to>
      <xdr:col>0</xdr:col>
      <xdr:colOff>1464175</xdr:colOff>
      <xdr:row>6</xdr:row>
      <xdr:rowOff>87312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CFD8D9D3-F1CA-3459-C50A-90F0A3A1E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275" y="530225"/>
          <a:ext cx="851900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53975</xdr:colOff>
      <xdr:row>0</xdr:row>
      <xdr:rowOff>101600</xdr:rowOff>
    </xdr:from>
    <xdr:to>
      <xdr:col>0</xdr:col>
      <xdr:colOff>2016125</xdr:colOff>
      <xdr:row>2</xdr:row>
      <xdr:rowOff>66675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4C2C3EA-085C-F020-84D8-0026696D0654}"/>
            </a:ext>
          </a:extLst>
        </xdr:cNvPr>
        <xdr:cNvSpPr/>
      </xdr:nvSpPr>
      <xdr:spPr>
        <a:xfrm>
          <a:off x="53975" y="101600"/>
          <a:ext cx="1962150" cy="327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1000">
                    <a:schemeClr val="bg1"/>
                  </a:gs>
                  <a:gs pos="61000">
                    <a:srgbClr val="EE37BF"/>
                  </a:gs>
                  <a:gs pos="100000">
                    <a:srgbClr val="6124E8">
                      <a:lumMod val="69000"/>
                      <a:lumOff val="31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LION APP</a:t>
          </a:r>
        </a:p>
      </xdr:txBody>
    </xdr:sp>
    <xdr:clientData/>
  </xdr:twoCellAnchor>
  <xdr:twoCellAnchor editAs="absolute">
    <xdr:from>
      <xdr:col>0</xdr:col>
      <xdr:colOff>82550</xdr:colOff>
      <xdr:row>7</xdr:row>
      <xdr:rowOff>209549</xdr:rowOff>
    </xdr:from>
    <xdr:to>
      <xdr:col>0</xdr:col>
      <xdr:colOff>2016125</xdr:colOff>
      <xdr:row>9</xdr:row>
      <xdr:rowOff>160336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79351F7-13D4-5A33-CB65-402E00F58E5C}"/>
            </a:ext>
          </a:extLst>
        </xdr:cNvPr>
        <xdr:cNvSpPr/>
      </xdr:nvSpPr>
      <xdr:spPr>
        <a:xfrm>
          <a:off x="85725" y="1704974"/>
          <a:ext cx="1930400" cy="373062"/>
        </a:xfrm>
        <a:prstGeom prst="roundRect">
          <a:avLst>
            <a:gd name="adj" fmla="val 50000"/>
          </a:avLst>
        </a:prstGeom>
        <a:gradFill flip="none" rotWithShape="1">
          <a:gsLst>
            <a:gs pos="17000">
              <a:srgbClr val="EE37BF"/>
            </a:gs>
            <a:gs pos="95000">
              <a:srgbClr val="6124E8">
                <a:lumMod val="80000"/>
                <a:lumOff val="20000"/>
                <a:alpha val="63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82550</xdr:colOff>
      <xdr:row>10</xdr:row>
      <xdr:rowOff>74613</xdr:rowOff>
    </xdr:from>
    <xdr:to>
      <xdr:col>0</xdr:col>
      <xdr:colOff>2019300</xdr:colOff>
      <xdr:row>12</xdr:row>
      <xdr:rowOff>74613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45403D9-DE27-427A-93B5-78EE711D4186}"/>
            </a:ext>
          </a:extLst>
        </xdr:cNvPr>
        <xdr:cNvSpPr/>
      </xdr:nvSpPr>
      <xdr:spPr>
        <a:xfrm>
          <a:off x="82550" y="2170113"/>
          <a:ext cx="193675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85725</xdr:colOff>
      <xdr:row>12</xdr:row>
      <xdr:rowOff>187325</xdr:rowOff>
    </xdr:from>
    <xdr:to>
      <xdr:col>0</xdr:col>
      <xdr:colOff>2019300</xdr:colOff>
      <xdr:row>14</xdr:row>
      <xdr:rowOff>192087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2D883CE-981C-401B-A072-1C79F4A136B2}"/>
            </a:ext>
          </a:extLst>
        </xdr:cNvPr>
        <xdr:cNvSpPr/>
      </xdr:nvSpPr>
      <xdr:spPr>
        <a:xfrm>
          <a:off x="85725" y="2695575"/>
          <a:ext cx="1933575" cy="3968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225425</xdr:colOff>
      <xdr:row>16</xdr:row>
      <xdr:rowOff>163512</xdr:rowOff>
    </xdr:from>
    <xdr:to>
      <xdr:col>0</xdr:col>
      <xdr:colOff>1800226</xdr:colOff>
      <xdr:row>19</xdr:row>
      <xdr:rowOff>1587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4634C42A-66E9-E217-12B8-31E082776CA0}"/>
            </a:ext>
          </a:extLst>
        </xdr:cNvPr>
        <xdr:cNvSpPr/>
      </xdr:nvSpPr>
      <xdr:spPr>
        <a:xfrm>
          <a:off x="225425" y="3476625"/>
          <a:ext cx="1574801" cy="4476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65000"/>
                </a:schemeClr>
              </a:solidFill>
            </a:rPr>
            <a:t>SYSTEM BY DIO </a:t>
          </a:r>
          <a:r>
            <a:rPr lang="pt-BR" sz="1100"/>
            <a:t>💜</a:t>
          </a:r>
        </a:p>
      </xdr:txBody>
    </xdr:sp>
    <xdr:clientData/>
  </xdr:twoCellAnchor>
  <xdr:twoCellAnchor editAs="absolute">
    <xdr:from>
      <xdr:col>0</xdr:col>
      <xdr:colOff>257175</xdr:colOff>
      <xdr:row>16</xdr:row>
      <xdr:rowOff>180975</xdr:rowOff>
    </xdr:from>
    <xdr:to>
      <xdr:col>0</xdr:col>
      <xdr:colOff>1809750</xdr:colOff>
      <xdr:row>16</xdr:row>
      <xdr:rowOff>180975</xdr:rowOff>
    </xdr:to>
    <xdr:cxnSp macro="">
      <xdr:nvCxnSpPr>
        <xdr:cNvPr id="14" name="Conector reto 13">
          <a:extLst>
            <a:ext uri="{FF2B5EF4-FFF2-40B4-BE49-F238E27FC236}">
              <a16:creationId xmlns:a16="http://schemas.microsoft.com/office/drawing/2014/main" id="{05C6E0BC-9747-1A34-0A4F-198DE978D730}"/>
            </a:ext>
          </a:extLst>
        </xdr:cNvPr>
        <xdr:cNvCxnSpPr/>
      </xdr:nvCxnSpPr>
      <xdr:spPr>
        <a:xfrm>
          <a:off x="254000" y="3562350"/>
          <a:ext cx="1555750" cy="0"/>
        </a:xfrm>
        <a:prstGeom prst="line">
          <a:avLst/>
        </a:prstGeom>
        <a:ln w="9525">
          <a:solidFill>
            <a:srgbClr val="EE37BF"/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882650</xdr:colOff>
      <xdr:row>18</xdr:row>
      <xdr:rowOff>93662</xdr:rowOff>
    </xdr:from>
    <xdr:to>
      <xdr:col>0</xdr:col>
      <xdr:colOff>1227834</xdr:colOff>
      <xdr:row>20</xdr:row>
      <xdr:rowOff>26988</xdr:rowOff>
    </xdr:to>
    <xdr:pic>
      <xdr:nvPicPr>
        <xdr:cNvPr id="16" name="icon_link" descr="Linkedin White Icons – Free Download SVG, PNG, GIF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B6784B9-D666-409A-BFD6-E16848F1E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3810000"/>
          <a:ext cx="345184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601980</xdr:colOff>
      <xdr:row>19</xdr:row>
      <xdr:rowOff>91440</xdr:rowOff>
    </xdr:from>
    <xdr:to>
      <xdr:col>7</xdr:col>
      <xdr:colOff>711480</xdr:colOff>
      <xdr:row>21</xdr:row>
      <xdr:rowOff>91440</xdr:rowOff>
    </xdr:to>
    <xdr:sp macro="" textlink="">
      <xdr:nvSpPr>
        <xdr:cNvPr id="17" name="Retângul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EF9DEB-3227-37D7-C35D-332CB65F3F99}"/>
            </a:ext>
          </a:extLst>
        </xdr:cNvPr>
        <xdr:cNvSpPr/>
      </xdr:nvSpPr>
      <xdr:spPr>
        <a:xfrm>
          <a:off x="7688580" y="4160520"/>
          <a:ext cx="1062000" cy="365760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  <a:endParaRPr lang="pt-BR" sz="1100"/>
        </a:p>
      </xdr:txBody>
    </xdr:sp>
    <xdr:clientData/>
  </xdr:twoCellAnchor>
  <xdr:twoCellAnchor editAs="absolute">
    <xdr:from>
      <xdr:col>5</xdr:col>
      <xdr:colOff>304800</xdr:colOff>
      <xdr:row>19</xdr:row>
      <xdr:rowOff>91440</xdr:rowOff>
    </xdr:from>
    <xdr:to>
      <xdr:col>6</xdr:col>
      <xdr:colOff>498120</xdr:colOff>
      <xdr:row>21</xdr:row>
      <xdr:rowOff>91440</xdr:rowOff>
    </xdr:to>
    <xdr:sp macro="[0]!salvar_titular" textlink="">
      <xdr:nvSpPr>
        <xdr:cNvPr id="4" name="Retângulo 3">
          <a:extLst>
            <a:ext uri="{FF2B5EF4-FFF2-40B4-BE49-F238E27FC236}">
              <a16:creationId xmlns:a16="http://schemas.microsoft.com/office/drawing/2014/main" id="{68E457C7-7CE2-1016-1283-67E3136D03B7}"/>
            </a:ext>
          </a:extLst>
        </xdr:cNvPr>
        <xdr:cNvSpPr/>
      </xdr:nvSpPr>
      <xdr:spPr>
        <a:xfrm>
          <a:off x="6522720" y="4160520"/>
          <a:ext cx="1062000" cy="365760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Salvar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612275</xdr:colOff>
      <xdr:row>2</xdr:row>
      <xdr:rowOff>171450</xdr:rowOff>
    </xdr:from>
    <xdr:to>
      <xdr:col>0</xdr:col>
      <xdr:colOff>1464175</xdr:colOff>
      <xdr:row>6</xdr:row>
      <xdr:rowOff>85725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0250D619-642E-4E17-AA9A-811FCB2154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275" y="533400"/>
          <a:ext cx="851900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53975</xdr:colOff>
      <xdr:row>0</xdr:row>
      <xdr:rowOff>101600</xdr:rowOff>
    </xdr:from>
    <xdr:to>
      <xdr:col>0</xdr:col>
      <xdr:colOff>2016125</xdr:colOff>
      <xdr:row>2</xdr:row>
      <xdr:rowOff>66675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E4A9973-12D4-4891-A507-8F3029B54826}"/>
            </a:ext>
          </a:extLst>
        </xdr:cNvPr>
        <xdr:cNvSpPr/>
      </xdr:nvSpPr>
      <xdr:spPr>
        <a:xfrm>
          <a:off x="53975" y="104775"/>
          <a:ext cx="1962150" cy="3206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1000">
                    <a:schemeClr val="bg1"/>
                  </a:gs>
                  <a:gs pos="61000">
                    <a:srgbClr val="EE37BF"/>
                  </a:gs>
                  <a:gs pos="100000">
                    <a:srgbClr val="6124E8">
                      <a:lumMod val="69000"/>
                      <a:lumOff val="31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LION APP</a:t>
          </a:r>
        </a:p>
      </xdr:txBody>
    </xdr:sp>
    <xdr:clientData/>
  </xdr:twoCellAnchor>
  <xdr:twoCellAnchor editAs="absolute">
    <xdr:from>
      <xdr:col>0</xdr:col>
      <xdr:colOff>82550</xdr:colOff>
      <xdr:row>7</xdr:row>
      <xdr:rowOff>104775</xdr:rowOff>
    </xdr:from>
    <xdr:to>
      <xdr:col>0</xdr:col>
      <xdr:colOff>2016125</xdr:colOff>
      <xdr:row>9</xdr:row>
      <xdr:rowOff>109220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303B44-6E1C-4E4F-A9D1-998BEFE36EFB}"/>
            </a:ext>
          </a:extLst>
        </xdr:cNvPr>
        <xdr:cNvSpPr/>
      </xdr:nvSpPr>
      <xdr:spPr>
        <a:xfrm>
          <a:off x="85725" y="1644650"/>
          <a:ext cx="19304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82550</xdr:colOff>
      <xdr:row>10</xdr:row>
      <xdr:rowOff>55563</xdr:rowOff>
    </xdr:from>
    <xdr:to>
      <xdr:col>0</xdr:col>
      <xdr:colOff>2019300</xdr:colOff>
      <xdr:row>12</xdr:row>
      <xdr:rowOff>97473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14F494-6BA9-4CA2-9B0E-F6CBFB6599B8}"/>
            </a:ext>
          </a:extLst>
        </xdr:cNvPr>
        <xdr:cNvSpPr/>
      </xdr:nvSpPr>
      <xdr:spPr>
        <a:xfrm>
          <a:off x="85725" y="2173288"/>
          <a:ext cx="1933575" cy="400050"/>
        </a:xfrm>
        <a:prstGeom prst="roundRect">
          <a:avLst>
            <a:gd name="adj" fmla="val 50000"/>
          </a:avLst>
        </a:prstGeom>
        <a:gradFill flip="none" rotWithShape="1">
          <a:gsLst>
            <a:gs pos="17000">
              <a:srgbClr val="EE37BF"/>
            </a:gs>
            <a:gs pos="95000">
              <a:srgbClr val="6124E8">
                <a:lumMod val="80000"/>
                <a:lumOff val="20000"/>
                <a:alpha val="63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85725</xdr:colOff>
      <xdr:row>12</xdr:row>
      <xdr:rowOff>222885</xdr:rowOff>
    </xdr:from>
    <xdr:to>
      <xdr:col>0</xdr:col>
      <xdr:colOff>2019300</xdr:colOff>
      <xdr:row>14</xdr:row>
      <xdr:rowOff>173990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B57576F-76C0-4541-BE88-35F550961079}"/>
            </a:ext>
          </a:extLst>
        </xdr:cNvPr>
        <xdr:cNvSpPr/>
      </xdr:nvSpPr>
      <xdr:spPr>
        <a:xfrm>
          <a:off x="82550" y="2695575"/>
          <a:ext cx="193675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225425</xdr:colOff>
      <xdr:row>17</xdr:row>
      <xdr:rowOff>13970</xdr:rowOff>
    </xdr:from>
    <xdr:to>
      <xdr:col>0</xdr:col>
      <xdr:colOff>1800226</xdr:colOff>
      <xdr:row>19</xdr:row>
      <xdr:rowOff>103505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628B5FFA-6B10-4B28-9335-4E2122034D41}"/>
            </a:ext>
          </a:extLst>
        </xdr:cNvPr>
        <xdr:cNvSpPr/>
      </xdr:nvSpPr>
      <xdr:spPr>
        <a:xfrm>
          <a:off x="225425" y="3473450"/>
          <a:ext cx="1571626" cy="450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65000"/>
                </a:schemeClr>
              </a:solidFill>
            </a:rPr>
            <a:t>SYSTEM BY DIO </a:t>
          </a:r>
          <a:r>
            <a:rPr lang="pt-BR" sz="1100"/>
            <a:t>💜</a:t>
          </a:r>
        </a:p>
      </xdr:txBody>
    </xdr:sp>
    <xdr:clientData/>
  </xdr:twoCellAnchor>
  <xdr:twoCellAnchor editAs="absolute">
    <xdr:from>
      <xdr:col>0</xdr:col>
      <xdr:colOff>254000</xdr:colOff>
      <xdr:row>17</xdr:row>
      <xdr:rowOff>23495</xdr:rowOff>
    </xdr:from>
    <xdr:to>
      <xdr:col>0</xdr:col>
      <xdr:colOff>1809750</xdr:colOff>
      <xdr:row>17</xdr:row>
      <xdr:rowOff>23495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3DF8B0CF-555E-4B61-9BE9-8109C2084B07}"/>
            </a:ext>
          </a:extLst>
        </xdr:cNvPr>
        <xdr:cNvCxnSpPr/>
      </xdr:nvCxnSpPr>
      <xdr:spPr>
        <a:xfrm>
          <a:off x="254000" y="3486150"/>
          <a:ext cx="1555750" cy="0"/>
        </a:xfrm>
        <a:prstGeom prst="line">
          <a:avLst/>
        </a:prstGeom>
        <a:ln w="9525">
          <a:solidFill>
            <a:srgbClr val="EE37BF"/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882650</xdr:colOff>
      <xdr:row>18</xdr:row>
      <xdr:rowOff>173355</xdr:rowOff>
    </xdr:from>
    <xdr:to>
      <xdr:col>0</xdr:col>
      <xdr:colOff>1227834</xdr:colOff>
      <xdr:row>20</xdr:row>
      <xdr:rowOff>143510</xdr:rowOff>
    </xdr:to>
    <xdr:pic>
      <xdr:nvPicPr>
        <xdr:cNvPr id="18" name="icon_link" descr="Linkedin White Icons – Free Download SVG, PNG, GIF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206E5E7-4968-4CF8-A71C-26C4B64A8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3810000"/>
          <a:ext cx="345184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1844040</xdr:colOff>
      <xdr:row>8</xdr:row>
      <xdr:rowOff>137160</xdr:rowOff>
    </xdr:from>
    <xdr:to>
      <xdr:col>5</xdr:col>
      <xdr:colOff>711480</xdr:colOff>
      <xdr:row>10</xdr:row>
      <xdr:rowOff>137160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D11261-5E83-441E-AB9F-D538A63DE6AC}"/>
            </a:ext>
          </a:extLst>
        </xdr:cNvPr>
        <xdr:cNvSpPr/>
      </xdr:nvSpPr>
      <xdr:spPr>
        <a:xfrm>
          <a:off x="6598920" y="1905000"/>
          <a:ext cx="1062000" cy="365760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  <a:endParaRPr lang="pt-BR" sz="1100"/>
        </a:p>
      </xdr:txBody>
    </xdr:sp>
    <xdr:clientData/>
  </xdr:twoCellAnchor>
  <xdr:twoCellAnchor editAs="absolute">
    <xdr:from>
      <xdr:col>4</xdr:col>
      <xdr:colOff>716280</xdr:colOff>
      <xdr:row>8</xdr:row>
      <xdr:rowOff>137160</xdr:rowOff>
    </xdr:from>
    <xdr:to>
      <xdr:col>4</xdr:col>
      <xdr:colOff>1778280</xdr:colOff>
      <xdr:row>10</xdr:row>
      <xdr:rowOff>137160</xdr:rowOff>
    </xdr:to>
    <xdr:sp macro="" textlink="">
      <xdr:nvSpPr>
        <xdr:cNvPr id="20" name="Retângulo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FD43458-18B0-4252-B55B-38944FE43C3E}"/>
            </a:ext>
          </a:extLst>
        </xdr:cNvPr>
        <xdr:cNvSpPr/>
      </xdr:nvSpPr>
      <xdr:spPr>
        <a:xfrm>
          <a:off x="5471160" y="1905000"/>
          <a:ext cx="1062000" cy="365760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&lt;- ANTERIOR </a:t>
          </a:r>
          <a:endParaRPr lang="pt-BR" sz="1100"/>
        </a:p>
      </xdr:txBody>
    </xdr:sp>
    <xdr:clientData/>
  </xdr:twoCellAnchor>
  <xdr:twoCellAnchor editAs="absolute">
    <xdr:from>
      <xdr:col>3</xdr:col>
      <xdr:colOff>952500</xdr:colOff>
      <xdr:row>8</xdr:row>
      <xdr:rowOff>137160</xdr:rowOff>
    </xdr:from>
    <xdr:to>
      <xdr:col>4</xdr:col>
      <xdr:colOff>650520</xdr:colOff>
      <xdr:row>10</xdr:row>
      <xdr:rowOff>137160</xdr:rowOff>
    </xdr:to>
    <xdr:sp macro="[0]!salvar_informes" textlink="">
      <xdr:nvSpPr>
        <xdr:cNvPr id="9" name="Retângulo 8">
          <a:extLst>
            <a:ext uri="{FF2B5EF4-FFF2-40B4-BE49-F238E27FC236}">
              <a16:creationId xmlns:a16="http://schemas.microsoft.com/office/drawing/2014/main" id="{6960DC3B-ED21-4324-AC39-708536F5ACEC}"/>
            </a:ext>
          </a:extLst>
        </xdr:cNvPr>
        <xdr:cNvSpPr/>
      </xdr:nvSpPr>
      <xdr:spPr>
        <a:xfrm>
          <a:off x="4343400" y="1905000"/>
          <a:ext cx="1062000" cy="365760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Salvar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612275</xdr:colOff>
      <xdr:row>2</xdr:row>
      <xdr:rowOff>171450</xdr:rowOff>
    </xdr:from>
    <xdr:to>
      <xdr:col>0</xdr:col>
      <xdr:colOff>1464175</xdr:colOff>
      <xdr:row>6</xdr:row>
      <xdr:rowOff>114300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5359CEEC-6425-444B-AA39-FC4DDA9A55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275" y="533400"/>
          <a:ext cx="851900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53975</xdr:colOff>
      <xdr:row>0</xdr:row>
      <xdr:rowOff>101600</xdr:rowOff>
    </xdr:from>
    <xdr:to>
      <xdr:col>0</xdr:col>
      <xdr:colOff>2016125</xdr:colOff>
      <xdr:row>2</xdr:row>
      <xdr:rowOff>66675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6DA3A21E-3032-4A44-9A60-D7C9B249346E}"/>
            </a:ext>
          </a:extLst>
        </xdr:cNvPr>
        <xdr:cNvSpPr/>
      </xdr:nvSpPr>
      <xdr:spPr>
        <a:xfrm>
          <a:off x="53975" y="101600"/>
          <a:ext cx="1962150" cy="327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1000">
                    <a:schemeClr val="bg1"/>
                  </a:gs>
                  <a:gs pos="61000">
                    <a:srgbClr val="EE37BF"/>
                  </a:gs>
                  <a:gs pos="100000">
                    <a:srgbClr val="6124E8">
                      <a:lumMod val="69000"/>
                      <a:lumOff val="31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LION APP</a:t>
          </a:r>
        </a:p>
      </xdr:txBody>
    </xdr:sp>
    <xdr:clientData/>
  </xdr:twoCellAnchor>
  <xdr:twoCellAnchor editAs="absolute">
    <xdr:from>
      <xdr:col>0</xdr:col>
      <xdr:colOff>82550</xdr:colOff>
      <xdr:row>7</xdr:row>
      <xdr:rowOff>180975</xdr:rowOff>
    </xdr:from>
    <xdr:to>
      <xdr:col>0</xdr:col>
      <xdr:colOff>2016125</xdr:colOff>
      <xdr:row>9</xdr:row>
      <xdr:rowOff>171450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DD2B5D3-B723-404C-ADB3-C51DD695393A}"/>
            </a:ext>
          </a:extLst>
        </xdr:cNvPr>
        <xdr:cNvSpPr/>
      </xdr:nvSpPr>
      <xdr:spPr>
        <a:xfrm>
          <a:off x="82550" y="1647825"/>
          <a:ext cx="1933575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82550</xdr:colOff>
      <xdr:row>10</xdr:row>
      <xdr:rowOff>87313</xdr:rowOff>
    </xdr:from>
    <xdr:to>
      <xdr:col>0</xdr:col>
      <xdr:colOff>2019300</xdr:colOff>
      <xdr:row>12</xdr:row>
      <xdr:rowOff>68263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F203E7C-34D8-49FD-B29A-DFE85896E352}"/>
            </a:ext>
          </a:extLst>
        </xdr:cNvPr>
        <xdr:cNvSpPr/>
      </xdr:nvSpPr>
      <xdr:spPr>
        <a:xfrm>
          <a:off x="82550" y="2170113"/>
          <a:ext cx="193675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85725</xdr:colOff>
      <xdr:row>12</xdr:row>
      <xdr:rowOff>190500</xdr:rowOff>
    </xdr:from>
    <xdr:to>
      <xdr:col>0</xdr:col>
      <xdr:colOff>2019300</xdr:colOff>
      <xdr:row>14</xdr:row>
      <xdr:rowOff>171450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D80966C-6F53-4FFA-B737-02CE4D679B17}"/>
            </a:ext>
          </a:extLst>
        </xdr:cNvPr>
        <xdr:cNvSpPr/>
      </xdr:nvSpPr>
      <xdr:spPr>
        <a:xfrm>
          <a:off x="85725" y="2695575"/>
          <a:ext cx="1933575" cy="396875"/>
        </a:xfrm>
        <a:prstGeom prst="roundRect">
          <a:avLst>
            <a:gd name="adj" fmla="val 50000"/>
          </a:avLst>
        </a:prstGeom>
        <a:gradFill flip="none" rotWithShape="1">
          <a:gsLst>
            <a:gs pos="17000">
              <a:srgbClr val="EE37BF"/>
            </a:gs>
            <a:gs pos="95000">
              <a:srgbClr val="6124E8">
                <a:lumMod val="80000"/>
                <a:lumOff val="20000"/>
                <a:alpha val="63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225425</xdr:colOff>
      <xdr:row>16</xdr:row>
      <xdr:rowOff>133350</xdr:rowOff>
    </xdr:from>
    <xdr:to>
      <xdr:col>0</xdr:col>
      <xdr:colOff>1800226</xdr:colOff>
      <xdr:row>18</xdr:row>
      <xdr:rowOff>161925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992BA612-9853-4261-82C6-85FAB2FC725E}"/>
            </a:ext>
          </a:extLst>
        </xdr:cNvPr>
        <xdr:cNvSpPr/>
      </xdr:nvSpPr>
      <xdr:spPr>
        <a:xfrm>
          <a:off x="225425" y="3476625"/>
          <a:ext cx="1574801" cy="4476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65000"/>
                </a:schemeClr>
              </a:solidFill>
            </a:rPr>
            <a:t>SYSTEM BY DIO </a:t>
          </a:r>
          <a:r>
            <a:rPr lang="pt-BR" sz="1100"/>
            <a:t>💜</a:t>
          </a:r>
        </a:p>
      </xdr:txBody>
    </xdr:sp>
    <xdr:clientData/>
  </xdr:twoCellAnchor>
  <xdr:twoCellAnchor editAs="absolute">
    <xdr:from>
      <xdr:col>0</xdr:col>
      <xdr:colOff>254000</xdr:colOff>
      <xdr:row>16</xdr:row>
      <xdr:rowOff>142875</xdr:rowOff>
    </xdr:from>
    <xdr:to>
      <xdr:col>0</xdr:col>
      <xdr:colOff>1809750</xdr:colOff>
      <xdr:row>16</xdr:row>
      <xdr:rowOff>142875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D60F9F98-4AB8-43B6-8DD3-7BC5B0B3DD1D}"/>
            </a:ext>
          </a:extLst>
        </xdr:cNvPr>
        <xdr:cNvCxnSpPr/>
      </xdr:nvCxnSpPr>
      <xdr:spPr>
        <a:xfrm>
          <a:off x="254000" y="3486150"/>
          <a:ext cx="1555750" cy="0"/>
        </a:xfrm>
        <a:prstGeom prst="line">
          <a:avLst/>
        </a:prstGeom>
        <a:ln w="9525">
          <a:solidFill>
            <a:srgbClr val="EE37BF"/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882650</xdr:colOff>
      <xdr:row>18</xdr:row>
      <xdr:rowOff>47625</xdr:rowOff>
    </xdr:from>
    <xdr:to>
      <xdr:col>0</xdr:col>
      <xdr:colOff>1227834</xdr:colOff>
      <xdr:row>19</xdr:row>
      <xdr:rowOff>168275</xdr:rowOff>
    </xdr:to>
    <xdr:pic>
      <xdr:nvPicPr>
        <xdr:cNvPr id="16" name="icon_link" descr="Linkedin White Icons – Free Download SVG, PNG, GIF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FFA697F-D9BA-407E-A7E0-E9563EFB1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3810000"/>
          <a:ext cx="345184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0</xdr:colOff>
      <xdr:row>4</xdr:row>
      <xdr:rowOff>161925</xdr:rowOff>
    </xdr:from>
    <xdr:to>
      <xdr:col>2</xdr:col>
      <xdr:colOff>1190625</xdr:colOff>
      <xdr:row>5</xdr:row>
      <xdr:rowOff>142875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BB0D9D-0466-483B-A009-4909D8CCF700}"/>
            </a:ext>
          </a:extLst>
        </xdr:cNvPr>
        <xdr:cNvSpPr/>
      </xdr:nvSpPr>
      <xdr:spPr>
        <a:xfrm>
          <a:off x="2695575" y="1057275"/>
          <a:ext cx="1190625" cy="161925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/>
            <a:t>&lt;- ANTERIOR </a:t>
          </a:r>
          <a:endParaRPr lang="pt-BR" sz="1000"/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lipe Lima" refreshedDate="45832.847837037036" backgroundQuery="1" createdVersion="8" refreshedVersion="8" minRefreshableVersion="3" recordCount="0" supportSubquery="1" supportAdvancedDrill="1" xr:uid="{333D02C3-9A5A-40FF-A90F-7F4B2B78CDFB}">
  <cacheSource type="external" connectionId="1"/>
  <cacheFields count="6">
    <cacheField name="[BD_TITULAR].[ID].[ID]" caption="ID" numFmtId="0" level="1">
      <sharedItems containsSemiMixedTypes="0" containsString="0" containsNumber="1" containsInteger="1" minValue="51884" maxValue="53357" count="2">
        <n v="51884"/>
        <n v="53357"/>
      </sharedItems>
      <extLst>
        <ext xmlns:x15="http://schemas.microsoft.com/office/spreadsheetml/2010/11/main" uri="{4F2E5C28-24EA-4eb8-9CBF-B6C8F9C3D259}">
          <x15:cachedUniqueNames>
            <x15:cachedUniqueName index="0" name="[BD_TITULAR].[ID].&amp;[51884]"/>
            <x15:cachedUniqueName index="1" name="[BD_TITULAR].[ID].&amp;[53357]"/>
          </x15:cachedUniqueNames>
        </ext>
      </extLst>
    </cacheField>
    <cacheField name="[BD_TITULAR].[DATA e HORA].[DATA e HORA]" caption="DATA e HORA" numFmtId="0" hierarchy="1" level="1">
      <sharedItems containsSemiMixedTypes="0" containsNonDate="0" containsDate="1" containsString="0" minDate="2025-06-24T20:19:33" maxDate="2025-06-24T20:20:52" count="2">
        <d v="2025-06-24T20:20:52"/>
        <d v="2025-06-24T20:19:33"/>
      </sharedItems>
      <extLst>
        <ext xmlns:x15="http://schemas.microsoft.com/office/spreadsheetml/2010/11/main" uri="{4F2E5C28-24EA-4eb8-9CBF-B6C8F9C3D259}">
          <x15:cachedUniqueNames>
            <x15:cachedUniqueName index="0" name="[BD_TITULAR].[DATA e HORA].&amp;[2025-06-24T20:20:52]"/>
            <x15:cachedUniqueName index="1" name="[BD_TITULAR].[DATA e HORA].&amp;[2025-06-24T20:19:33]"/>
          </x15:cachedUniqueNames>
        </ext>
      </extLst>
    </cacheField>
    <cacheField name="[BD_TITULAR].[NOME].[NOME]" caption="NOME" numFmtId="0" hierarchy="2" level="1">
      <sharedItems count="1">
        <s v="FELIPE SKYWALKER NOBUNAGA"/>
      </sharedItems>
    </cacheField>
    <cacheField name="[BD_TITULAR].[E-MAIL].[E-MAIL]" caption="E-MAIL" numFmtId="0" hierarchy="12" level="1">
      <sharedItems count="1">
        <s v="felipe@dio.me"/>
      </sharedItems>
    </cacheField>
    <cacheField name="[Measures].[Soma de CPF]" caption="Soma de CPF" numFmtId="0" hierarchy="21" level="32767"/>
    <cacheField name="[Measures].[Soma de CELULAR]" caption="Soma de CELULAR" numFmtId="0" hierarchy="22" level="32767"/>
  </cacheFields>
  <cacheHierarchies count="23">
    <cacheHierarchy uniqueName="[BD_TITULAR].[ID]" caption="ID" attribute="1" defaultMemberUniqueName="[BD_TITULAR].[ID].[All]" allUniqueName="[BD_TITULAR].[ID].[All]" dimensionUniqueName="[BD_TITULAR]" displayFolder="" count="2" memberValueDatatype="20" unbalanced="0">
      <fieldsUsage count="2">
        <fieldUsage x="-1"/>
        <fieldUsage x="0"/>
      </fieldsUsage>
    </cacheHierarchy>
    <cacheHierarchy uniqueName="[BD_TITULAR].[DATA e HORA]" caption="DATA e HORA" attribute="1" time="1" defaultMemberUniqueName="[BD_TITULAR].[DATA e HORA].[All]" allUniqueName="[BD_TITULAR].[DATA e HORA].[All]" dimensionUniqueName="[BD_TITULAR]" displayFolder="" count="2" memberValueDatatype="7" unbalanced="0">
      <fieldsUsage count="2">
        <fieldUsage x="-1"/>
        <fieldUsage x="1"/>
      </fieldsUsage>
    </cacheHierarchy>
    <cacheHierarchy uniqueName="[BD_TITULAR].[NOME]" caption="NOME" attribute="1" defaultMemberUniqueName="[BD_TITULAR].[NOME].[All]" allUniqueName="[BD_TITULAR].[NOME].[All]" dimensionUniqueName="[BD_TITULAR]" displayFolder="" count="2" memberValueDatatype="130" unbalanced="0">
      <fieldsUsage count="2">
        <fieldUsage x="-1"/>
        <fieldUsage x="2"/>
      </fieldsUsage>
    </cacheHierarchy>
    <cacheHierarchy uniqueName="[BD_TITULAR].[CPF]" caption="CPF" attribute="1" defaultMemberUniqueName="[BD_TITULAR].[CPF].[All]" allUniqueName="[BD_TITULAR].[CPF].[All]" dimensionUniqueName="[BD_TITULAR]" displayFolder="" count="0" memberValueDatatype="5" unbalanced="0"/>
    <cacheHierarchy uniqueName="[BD_TITULAR].[NASCIMENTO]" caption="NASCIMENTO" attribute="1" time="1" defaultMemberUniqueName="[BD_TITULAR].[NASCIMENTO].[All]" allUniqueName="[BD_TITULAR].[NASCIMENTO].[All]" dimensionUniqueName="[BD_TITULAR]" displayFolder="" count="0" memberValueDatatype="7" unbalanced="0"/>
    <cacheHierarchy uniqueName="[BD_TITULAR].[TÍTULO DE ELEITOR]" caption="TÍTULO DE ELEITOR" attribute="1" defaultMemberUniqueName="[BD_TITULAR].[TÍTULO DE ELEITOR].[All]" allUniqueName="[BD_TITULAR].[TÍTULO DE ELEITOR].[All]" dimensionUniqueName="[BD_TITULAR]" displayFolder="" count="0" memberValueDatatype="20" unbalanced="0"/>
    <cacheHierarchy uniqueName="[BD_TITULAR].[CÔNJUGE]" caption="CÔNJUGE" attribute="1" defaultMemberUniqueName="[BD_TITULAR].[CÔNJUGE].[All]" allUniqueName="[BD_TITULAR].[CÔNJUGE].[All]" dimensionUniqueName="[BD_TITULAR]" displayFolder="" count="0" memberValueDatatype="130" unbalanced="0"/>
    <cacheHierarchy uniqueName="[BD_TITULAR].[RUA]" caption="RUA" attribute="1" defaultMemberUniqueName="[BD_TITULAR].[RUA].[All]" allUniqueName="[BD_TITULAR].[RUA].[All]" dimensionUniqueName="[BD_TITULAR]" displayFolder="" count="0" memberValueDatatype="130" unbalanced="0"/>
    <cacheHierarchy uniqueName="[BD_TITULAR].[RUA ABREVIADA]" caption="RUA ABREVIADA" attribute="1" defaultMemberUniqueName="[BD_TITULAR].[RUA ABREVIADA].[All]" allUniqueName="[BD_TITULAR].[RUA ABREVIADA].[All]" dimensionUniqueName="[BD_TITULAR]" displayFolder="" count="0" memberValueDatatype="130" unbalanced="0"/>
    <cacheHierarchy uniqueName="[BD_TITULAR].[CEP]" caption="CEP" attribute="1" defaultMemberUniqueName="[BD_TITULAR].[CEP].[All]" allUniqueName="[BD_TITULAR].[CEP].[All]" dimensionUniqueName="[BD_TITULAR]" displayFolder="" count="0" memberValueDatatype="20" unbalanced="0"/>
    <cacheHierarchy uniqueName="[BD_TITULAR].[TELEFONE]" caption="TELEFONE" attribute="1" defaultMemberUniqueName="[BD_TITULAR].[TELEFONE].[All]" allUniqueName="[BD_TITULAR].[TELEFONE].[All]" dimensionUniqueName="[BD_TITULAR]" displayFolder="" count="0" memberValueDatatype="20" unbalanced="0"/>
    <cacheHierarchy uniqueName="[BD_TITULAR].[CELULAR]" caption="CELULAR" attribute="1" defaultMemberUniqueName="[BD_TITULAR].[CELULAR].[All]" allUniqueName="[BD_TITULAR].[CELULAR].[All]" dimensionUniqueName="[BD_TITULAR]" displayFolder="" count="0" memberValueDatatype="5" unbalanced="0"/>
    <cacheHierarchy uniqueName="[BD_TITULAR].[E-MAIL]" caption="E-MAIL" attribute="1" defaultMemberUniqueName="[BD_TITULAR].[E-MAIL].[All]" allUniqueName="[BD_TITULAR].[E-MAIL].[All]" dimensionUniqueName="[BD_TITULAR]" displayFolder="" count="2" memberValueDatatype="130" unbalanced="0">
      <fieldsUsage count="2">
        <fieldUsage x="-1"/>
        <fieldUsage x="3"/>
      </fieldsUsage>
    </cacheHierarchy>
    <cacheHierarchy uniqueName="[BD_TITULAR].[HOUVE ALTERAÇÕES DA ENTREGA ANTERIOR]" caption="HOUVE ALTERAÇÕES DA ENTREGA ANTERIOR" attribute="1" defaultMemberUniqueName="[BD_TITULAR].[HOUVE ALTERAÇÕES DA ENTREGA ANTERIOR].[All]" allUniqueName="[BD_TITULAR].[HOUVE ALTERAÇÕES DA ENTREGA ANTERIOR].[All]" dimensionUniqueName="[BD_TITULAR]" displayFolder="" count="0" memberValueDatatype="130" unbalanced="0"/>
    <cacheHierarchy uniqueName="[BD_TITULAR].[DEPENDENTE CÔNJUGE]" caption="DEPENDENTE CÔNJUGE" attribute="1" defaultMemberUniqueName="[BD_TITULAR].[DEPENDENTE CÔNJUGE].[All]" allUniqueName="[BD_TITULAR].[DEPENDENTE CÔNJUGE].[All]" dimensionUniqueName="[BD_TITULAR]" displayFolder="" count="0" memberValueDatatype="130" unbalanced="0"/>
    <cacheHierarchy uniqueName="[BD_TITULAR].[RESIDENTE DO EXTERIOR]" caption="RESIDENTE DO EXTERIOR" attribute="1" defaultMemberUniqueName="[BD_TITULAR].[RESIDENTE DO EXTERIOR].[All]" allUniqueName="[BD_TITULAR].[RESIDENTE DO EXTERIOR].[All]" dimensionUniqueName="[BD_TITULAR]" displayFolder="" count="0" memberValueDatatype="130" unbalanced="0"/>
    <cacheHierarchy uniqueName="[BD_TITULAR].[DATA e HORA (Hora)]" caption="DATA e HORA (Hora)" attribute="1" defaultMemberUniqueName="[BD_TITULAR].[DATA e HORA (Hora)].[All]" allUniqueName="[BD_TITULAR].[DATA e HORA (Hora)].[All]" dimensionUniqueName="[BD_TITULAR]" displayFolder="" count="0" memberValueDatatype="130" unbalanced="0"/>
    <cacheHierarchy uniqueName="[BD_TITULAR].[DATA e HORA (Minuto)]" caption="DATA e HORA (Minuto)" attribute="1" defaultMemberUniqueName="[BD_TITULAR].[DATA e HORA (Minuto)].[All]" allUniqueName="[BD_TITULAR].[DATA e HORA (Minuto)].[All]" dimensionUniqueName="[BD_TITULAR]" displayFolder="" count="0" memberValueDatatype="130" unbalanced="0"/>
    <cacheHierarchy uniqueName="[BD_TITULAR].[DATA e HORA (Segundo)]" caption="DATA e HORA (Segundo)" attribute="1" defaultMemberUniqueName="[BD_TITULAR].[DATA e HORA (Segundo)].[All]" allUniqueName="[BD_TITULAR].[DATA e HORA (Segundo)].[All]" dimensionUniqueName="[BD_TITULAR]" displayFolder="" count="0" memberValueDatatype="130" unbalanced="0"/>
    <cacheHierarchy uniqueName="[Measures].[__XL_Count BD_TITULAR]" caption="__XL_Count BD_TITULAR" measure="1" displayFolder="" measureGroup="BD_TITULAR" count="0" hidden="1"/>
    <cacheHierarchy uniqueName="[Measures].[__No measures defined]" caption="__No measures defined" measure="1" displayFolder="" count="0" hidden="1"/>
    <cacheHierarchy uniqueName="[Measures].[Soma de CPF]" caption="Soma de CPF" measure="1" displayFolder="" measureGroup="BD_TITULAR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CELULAR]" caption="Soma de CELULAR" measure="1" displayFolder="" measureGroup="BD_TITULAR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2">
    <dimension name="BD_TITULAR" uniqueName="[BD_TITULAR]" caption="BD_TITULAR"/>
    <dimension measure="1" name="Measures" uniqueName="[Measures]" caption="Measures"/>
  </dimensions>
  <measureGroups count="1">
    <measureGroup name="BD_TITULAR" caption="BD_TITULAR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lipe Lima" refreshedDate="45832.847837037036" createdVersion="8" refreshedVersion="8" minRefreshableVersion="3" recordCount="4" xr:uid="{DEE94773-C43E-413E-9A58-3FD3D953AC0D}">
  <cacheSource type="worksheet">
    <worksheetSource name="BD_INFORMES"/>
  </cacheSource>
  <cacheFields count="5">
    <cacheField name="ID" numFmtId="0">
      <sharedItems containsSemiMixedTypes="0" containsString="0" containsNumber="1" containsInteger="1" minValue="3" maxValue="64309" count="3">
        <n v="64309"/>
        <n v="3" u="1"/>
        <n v="19127" u="1"/>
      </sharedItems>
    </cacheField>
    <cacheField name="DATA e HORA" numFmtId="22">
      <sharedItems containsSemiMixedTypes="0" containsNonDate="0" containsDate="1" containsString="0" minDate="2025-06-24T19:20:09" maxDate="2025-06-24T20:15:48" count="9">
        <d v="2025-06-24T20:13:13"/>
        <d v="2025-06-24T20:13:57"/>
        <d v="2025-06-24T20:15:06"/>
        <d v="2025-06-24T20:15:48"/>
        <d v="2025-06-24T20:11:04" u="1"/>
        <d v="2025-06-24T20:12:12" u="1"/>
        <d v="2025-06-24T19:20:09" u="1"/>
        <d v="2025-06-24T19:45:04" u="1"/>
        <d v="2025-06-24T19:53:21" u="1"/>
      </sharedItems>
    </cacheField>
    <cacheField name="BANCO" numFmtId="0">
      <sharedItems containsBlank="1" count="6">
        <s v="119 - Banco Western Union do Brasil"/>
        <s v="218 - Banco Bonsucesso"/>
        <s v="237 - Banco Bradesco"/>
        <s v="208 - Banco BTG Pactual"/>
        <m u="1"/>
        <s v="FELIPE SKYWALKER NOBUNAGA" u="1"/>
      </sharedItems>
    </cacheField>
    <cacheField name="VALOR ATUAL" numFmtId="7">
      <sharedItems containsSemiMixedTypes="0" containsString="0" containsNumber="1" containsInteger="1" minValue="169367" maxValue="850000"/>
    </cacheField>
    <cacheField name="ANEXO 🖇️" numFmtId="14">
      <sharedItems containsDate="1" containsMixedTypes="1" minDate="1994-09-28T00:00:00" maxDate="1994-09-29T00:00:00" count="2">
        <s v="topazao_2025.pdf"/>
        <d v="1994-09-28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n v="500000"/>
    <x v="0"/>
  </r>
  <r>
    <x v="0"/>
    <x v="1"/>
    <x v="1"/>
    <n v="850000"/>
    <x v="0"/>
  </r>
  <r>
    <x v="0"/>
    <x v="2"/>
    <x v="2"/>
    <n v="256000"/>
    <x v="0"/>
  </r>
  <r>
    <x v="0"/>
    <x v="3"/>
    <x v="3"/>
    <n v="1693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96C93A-6563-4D5F-9A74-6CC6663E0F19}" name="Tabela dinâmica2" cacheId="424" applyNumberFormats="0" applyBorderFormats="0" applyFontFormats="0" applyPatternFormats="0" applyAlignmentFormats="0" applyWidthHeightFormats="1" dataCaption="Valores" updatedVersion="8" minRefreshableVersion="3" showDrill="0" useAutoFormatting="1" rowGrandTotals="0" colGrandTotals="0" itemPrintTitles="1" createdVersion="8" indent="0" compact="0" compactData="0" multipleFieldFilters="0">
  <location ref="C24:H26" firstHeaderRow="0" firstDataRow="1" firstDataCol="4"/>
  <pivotFields count="6">
    <pivotField axis="axisRow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1"/>
    <field x="2"/>
    <field x="3"/>
  </rowFields>
  <rowItems count="2">
    <i>
      <x/>
      <x/>
      <x/>
      <x/>
    </i>
    <i>
      <x v="1"/>
      <x v="1"/>
      <x/>
      <x/>
    </i>
  </rowItems>
  <colFields count="1">
    <field x="-2"/>
  </colFields>
  <colItems count="2">
    <i>
      <x/>
    </i>
    <i i="1">
      <x v="1"/>
    </i>
  </colItems>
  <dataFields count="2">
    <dataField name="CPF" fld="4" baseField="3" baseItem="0" numFmtId="164"/>
    <dataField name="CELULAR" fld="5" baseField="3" baseItem="0" numFmtId="167"/>
  </dataFields>
  <pivotHierarchies count="2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CPF"/>
    <pivotHierarchy dragToData="1" caption="CELULAR"/>
  </pivotHierarchies>
  <pivotTableStyleInfo name="PivotStyleLight20" showRowHeaders="1" showColHeaders="1" showRowStripes="0" showColStripes="0" showLastColumn="1"/>
  <rowHierarchiesUsage count="4">
    <rowHierarchyUsage hierarchyUsage="0"/>
    <rowHierarchyUsage hierarchyUsage="1"/>
    <rowHierarchyUsage hierarchyUsage="2"/>
    <rowHierarchyUsage hierarchyUsage="1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rojeto_completo.xlsm!BD_TITULAR">
        <x15:activeTabTopLevelEntity name="[BD_TITULA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475821-DE05-4D99-B638-B3BD8B2AE6B2}" name="Tabela dinâmica3" cacheId="431" applyNumberFormats="0" applyBorderFormats="0" applyFontFormats="0" applyPatternFormats="0" applyAlignmentFormats="0" applyWidthHeightFormats="1" dataCaption="Valores" updatedVersion="8" minRefreshableVersion="3" showDrill="0" useAutoFormatting="1" colGrandTotals="0" itemPrintTitles="1" createdVersion="8" indent="0" compact="0" compactData="0" multipleFieldFilters="0">
  <location ref="C14:G19" firstHeaderRow="1" firstDataRow="1" firstDataCol="4"/>
  <pivotFields count="5"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2" outline="0" showAll="0" defaultSubtotal="0">
      <items count="9">
        <item m="1" x="6"/>
        <item m="1" x="7"/>
        <item m="1" x="8"/>
        <item m="1" x="4"/>
        <item m="1" x="5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m="1" x="5"/>
        <item m="1" x="4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1"/>
    <field x="2"/>
    <field x="4"/>
  </rowFields>
  <rowItems count="5">
    <i>
      <x v="2"/>
      <x v="5"/>
      <x/>
      <x v="1"/>
    </i>
    <i r="1">
      <x v="6"/>
      <x v="3"/>
      <x v="1"/>
    </i>
    <i r="1">
      <x v="7"/>
      <x v="4"/>
      <x v="1"/>
    </i>
    <i r="1">
      <x v="8"/>
      <x v="5"/>
      <x v="1"/>
    </i>
    <i t="grand">
      <x/>
    </i>
  </rowItems>
  <colItems count="1">
    <i/>
  </colItems>
  <dataFields count="1">
    <dataField name=" VALOR ATUAL" fld="3" baseField="4" baseItem="1" numFmtId="168"/>
  </dataField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452CD4-D09D-4472-816A-A53383470A2F}" name="Tabela1" displayName="Tabela1" ref="C8:E35" totalsRowShown="0" headerRowDxfId="12" dataDxfId="11">
  <autoFilter ref="C8:E35" xr:uid="{D0452CD4-D09D-4472-816A-A53383470A2F}"/>
  <tableColumns count="3">
    <tableColumn id="1" xr3:uid="{D31EA280-7853-409C-A8EE-1C6F5F94A34F}" name="DATA" dataDxfId="10"/>
    <tableColumn id="2" xr3:uid="{F34F7F55-794C-46B5-A546-FE1070EE20E7}" name="CATEGORIA" dataDxfId="9"/>
    <tableColumn id="3" xr3:uid="{9B7F950C-CEE2-4840-870F-46DA94161C69}" name="VALOR" dataDxfId="8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91F897A-48F6-4D48-90EE-5E0C626A7E25}" name="BD_TITULAR" displayName="BD_TITULAR" ref="A1:P3" totalsRowShown="0" headerRowDxfId="4" headerRowBorderDxfId="6" tableBorderDxfId="7">
  <autoFilter ref="A1:P3" xr:uid="{B91F897A-48F6-4D48-90EE-5E0C626A7E25}"/>
  <tableColumns count="16">
    <tableColumn id="1" xr3:uid="{4260A328-CC23-4A05-86E3-D47EFA3EEF50}" name="ID"/>
    <tableColumn id="16" xr3:uid="{DE137D8B-E9F1-4190-89B7-15AE6CFAAF86}" name="DATA e HORA"/>
    <tableColumn id="2" xr3:uid="{CA0C6C40-634D-4292-A14D-FD1E9E3F3280}" name="NOME"/>
    <tableColumn id="3" xr3:uid="{AFD6BE04-2331-4F2A-B3F2-36E4158919D1}" name="CPF"/>
    <tableColumn id="4" xr3:uid="{149098B1-9F05-48A8-940F-FA8CE2828A47}" name="NASCIMENTO" dataDxfId="5"/>
    <tableColumn id="5" xr3:uid="{1B177F18-7551-4960-A0DC-24CF58DA4656}" name="TÍTULO DE ELEITOR"/>
    <tableColumn id="6" xr3:uid="{BDF90682-2BDC-440F-A573-8A6E7EA5D102}" name="CÔNJUGE"/>
    <tableColumn id="7" xr3:uid="{200BCE36-1DC7-42C3-A6B3-58AEA7FA5ED9}" name="RUA"/>
    <tableColumn id="8" xr3:uid="{40D6857C-B6CA-4586-9230-B69AC0D4E834}" name="RUA ABREVIADA"/>
    <tableColumn id="9" xr3:uid="{D93EF033-3577-4B30-AAD1-5E412C4418E9}" name="CEP"/>
    <tableColumn id="10" xr3:uid="{D2D1101C-8B99-46CE-8AE9-C6DBA4D8FCA9}" name="TELEFONE"/>
    <tableColumn id="11" xr3:uid="{54B74D3D-DFD8-4875-9830-B32DBA884F4C}" name="CELULAR"/>
    <tableColumn id="12" xr3:uid="{6D5B0776-2052-4058-BCCB-8CF02FE26711}" name="E-MAIL"/>
    <tableColumn id="13" xr3:uid="{C153C20B-A73F-4902-A290-83A13B3F9872}" name="HOUVE ALTERAÇÕES DA ENTREGA ANTERIOR"/>
    <tableColumn id="14" xr3:uid="{BEB5EC38-A16F-4809-9A54-D4F11EAB07E1}" name="DEPENDENTE CÔNJUGE"/>
    <tableColumn id="15" xr3:uid="{59C4BE3C-4A47-42BB-9945-1DEFD955491B}" name="RESIDENTE DO EXTERIOR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10A7EF-3D4E-43C7-82CF-B3681E70E956}" name="BD_INFORMES" displayName="BD_INFORMES" ref="A1:E5" totalsRowShown="0" headerRowDxfId="0" headerRowBorderDxfId="2" tableBorderDxfId="3">
  <autoFilter ref="A1:E5" xr:uid="{B91F897A-48F6-4D48-90EE-5E0C626A7E25}"/>
  <tableColumns count="5">
    <tableColumn id="1" xr3:uid="{193AF1D0-0B33-46EC-A437-A7D13ABE322E}" name="ID"/>
    <tableColumn id="16" xr3:uid="{ACD8E6A3-BD66-4C79-BF2B-EB5D0C888B84}" name="DATA e HORA"/>
    <tableColumn id="2" xr3:uid="{036654AF-F682-4F29-9376-2813B06C8F68}" name="BANCO"/>
    <tableColumn id="3" xr3:uid="{123A0A48-185B-4B45-A4A7-6C98C1C0D264}" name="VALOR ATUAL"/>
    <tableColumn id="4" xr3:uid="{4261F7CB-FD79-4A14-A479-8B9B85A01DC5}" name="ANEXO 🖇️" dataDxfId="1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mailto:felipe@dio.me?subject=Oi,%20precisamos%20falar%20sobre%20sua%20declara&#231;&#227;o" TargetMode="Externa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3864E-0BD8-454D-8027-66A57F4679B7}">
  <sheetPr codeName="Planilha1"/>
  <dimension ref="A3:H44"/>
  <sheetViews>
    <sheetView showGridLines="0" showRowColHeaders="0" zoomScaleNormal="100" workbookViewId="0">
      <selection activeCell="C1" sqref="C1"/>
    </sheetView>
  </sheetViews>
  <sheetFormatPr defaultRowHeight="14.4" x14ac:dyDescent="0.3"/>
  <cols>
    <col min="1" max="1" width="29.88671875" style="1" customWidth="1"/>
    <col min="3" max="3" width="8.109375" customWidth="1"/>
    <col min="4" max="4" width="16.5546875" customWidth="1"/>
    <col min="5" max="5" width="27.21875" bestFit="1" customWidth="1"/>
    <col min="6" max="6" width="12.6640625" bestFit="1" customWidth="1"/>
    <col min="7" max="7" width="13.88671875" bestFit="1" customWidth="1"/>
    <col min="8" max="8" width="14.21875" bestFit="1" customWidth="1"/>
  </cols>
  <sheetData>
    <row r="3" spans="3:8" ht="20.399999999999999" thickBot="1" x14ac:dyDescent="0.45">
      <c r="C3" s="2" t="s">
        <v>14</v>
      </c>
      <c r="D3" s="3"/>
      <c r="E3" s="3"/>
    </row>
    <row r="4" spans="3:8" ht="22.05" customHeight="1" thickTop="1" x14ac:dyDescent="0.3">
      <c r="C4" s="27" t="s">
        <v>15</v>
      </c>
      <c r="D4" s="27"/>
      <c r="E4" s="27"/>
      <c r="F4" s="27"/>
      <c r="G4" s="27"/>
      <c r="H4" s="27"/>
    </row>
    <row r="6" spans="3:8" ht="16.8" x14ac:dyDescent="0.4">
      <c r="C6" s="19" t="s">
        <v>0</v>
      </c>
      <c r="D6" s="19"/>
      <c r="E6" s="19"/>
      <c r="F6" s="20" t="s">
        <v>18</v>
      </c>
      <c r="G6" s="20"/>
      <c r="H6" s="20"/>
    </row>
    <row r="7" spans="3:8" ht="16.8" x14ac:dyDescent="0.4">
      <c r="C7" s="19" t="s">
        <v>1</v>
      </c>
      <c r="D7" s="19"/>
      <c r="E7" s="19"/>
      <c r="F7" s="21">
        <v>12312312398</v>
      </c>
      <c r="G7" s="21"/>
      <c r="H7" s="21"/>
    </row>
    <row r="8" spans="3:8" ht="16.8" x14ac:dyDescent="0.4">
      <c r="C8" s="19" t="s">
        <v>2</v>
      </c>
      <c r="D8" s="19"/>
      <c r="E8" s="19"/>
      <c r="F8" s="22">
        <v>34605</v>
      </c>
      <c r="G8" s="22"/>
      <c r="H8" s="22"/>
    </row>
    <row r="9" spans="3:8" ht="16.8" x14ac:dyDescent="0.4">
      <c r="C9" s="19" t="s">
        <v>3</v>
      </c>
      <c r="D9" s="19"/>
      <c r="E9" s="19"/>
      <c r="F9" s="20">
        <v>31713388</v>
      </c>
      <c r="G9" s="20"/>
      <c r="H9" s="20"/>
    </row>
    <row r="10" spans="3:8" ht="16.8" x14ac:dyDescent="0.4">
      <c r="C10" s="19" t="s">
        <v>4</v>
      </c>
      <c r="D10" s="19"/>
      <c r="E10" s="19"/>
      <c r="F10" s="20" t="s">
        <v>22</v>
      </c>
      <c r="G10" s="20"/>
      <c r="H10" s="20"/>
    </row>
    <row r="11" spans="3:8" ht="16.8" x14ac:dyDescent="0.4">
      <c r="C11" s="19" t="s">
        <v>5</v>
      </c>
      <c r="D11" s="19"/>
      <c r="E11" s="19"/>
      <c r="F11" s="20" t="s">
        <v>21</v>
      </c>
      <c r="G11" s="20"/>
      <c r="H11" s="20"/>
    </row>
    <row r="12" spans="3:8" ht="16.8" x14ac:dyDescent="0.4">
      <c r="C12" s="19" t="s">
        <v>6</v>
      </c>
      <c r="D12" s="19"/>
      <c r="E12" s="19"/>
      <c r="F12" s="20" t="s">
        <v>20</v>
      </c>
      <c r="G12" s="20"/>
      <c r="H12" s="20"/>
    </row>
    <row r="13" spans="3:8" ht="16.8" x14ac:dyDescent="0.4">
      <c r="C13" s="19" t="s">
        <v>7</v>
      </c>
      <c r="D13" s="19"/>
      <c r="E13" s="19"/>
      <c r="F13" s="23">
        <v>987654321</v>
      </c>
      <c r="G13" s="23"/>
      <c r="H13" s="23"/>
    </row>
    <row r="14" spans="3:8" ht="16.8" x14ac:dyDescent="0.4">
      <c r="C14" s="19" t="s">
        <v>8</v>
      </c>
      <c r="D14" s="19"/>
      <c r="E14" s="19"/>
      <c r="F14" s="24">
        <v>1131713388</v>
      </c>
      <c r="G14" s="24"/>
      <c r="H14" s="24"/>
    </row>
    <row r="15" spans="3:8" ht="16.8" x14ac:dyDescent="0.4">
      <c r="C15" s="19" t="s">
        <v>9</v>
      </c>
      <c r="D15" s="19"/>
      <c r="E15" s="19"/>
      <c r="F15" s="25">
        <v>11931713388</v>
      </c>
      <c r="G15" s="25"/>
      <c r="H15" s="25"/>
    </row>
    <row r="16" spans="3:8" ht="16.8" x14ac:dyDescent="0.4">
      <c r="C16" s="19" t="s">
        <v>10</v>
      </c>
      <c r="D16" s="19"/>
      <c r="E16" s="19"/>
      <c r="F16" s="26" t="s">
        <v>19</v>
      </c>
      <c r="G16" s="26"/>
      <c r="H16" s="26"/>
    </row>
    <row r="17" spans="3:8" ht="16.8" x14ac:dyDescent="0.4">
      <c r="C17" s="19" t="s">
        <v>11</v>
      </c>
      <c r="D17" s="19"/>
      <c r="E17" s="19"/>
      <c r="F17" s="20" t="s">
        <v>16</v>
      </c>
      <c r="G17" s="20"/>
      <c r="H17" s="20"/>
    </row>
    <row r="18" spans="3:8" ht="16.8" x14ac:dyDescent="0.4">
      <c r="C18" s="19" t="s">
        <v>12</v>
      </c>
      <c r="D18" s="19"/>
      <c r="E18" s="19"/>
      <c r="F18" s="20" t="s">
        <v>17</v>
      </c>
      <c r="G18" s="20"/>
      <c r="H18" s="20"/>
    </row>
    <row r="19" spans="3:8" ht="16.8" x14ac:dyDescent="0.4">
      <c r="C19" s="19" t="s">
        <v>13</v>
      </c>
      <c r="D19" s="19"/>
      <c r="E19" s="19"/>
      <c r="F19" s="20" t="s">
        <v>17</v>
      </c>
      <c r="G19" s="20"/>
      <c r="H19" s="20"/>
    </row>
    <row r="23" spans="3:8" ht="20.399999999999999" thickBot="1" x14ac:dyDescent="0.35">
      <c r="C23" s="28" t="s">
        <v>89</v>
      </c>
      <c r="D23" s="28"/>
      <c r="E23" s="28"/>
      <c r="F23" s="28"/>
      <c r="G23" s="28"/>
      <c r="H23" s="28"/>
    </row>
    <row r="24" spans="3:8" ht="15" thickTop="1" x14ac:dyDescent="0.3">
      <c r="C24" s="15" t="s">
        <v>87</v>
      </c>
      <c r="D24" s="15" t="s">
        <v>90</v>
      </c>
      <c r="E24" s="15" t="s">
        <v>0</v>
      </c>
      <c r="F24" s="15" t="s">
        <v>10</v>
      </c>
      <c r="G24" t="s">
        <v>1</v>
      </c>
      <c r="H24" t="s">
        <v>9</v>
      </c>
    </row>
    <row r="25" spans="3:8" x14ac:dyDescent="0.3">
      <c r="C25">
        <v>51884</v>
      </c>
      <c r="D25" s="18">
        <v>45832.847824074073</v>
      </c>
      <c r="E25" t="s">
        <v>18</v>
      </c>
      <c r="F25" t="s">
        <v>19</v>
      </c>
      <c r="G25" s="16">
        <v>12312312398</v>
      </c>
      <c r="H25" s="17">
        <v>11931713388</v>
      </c>
    </row>
    <row r="26" spans="3:8" x14ac:dyDescent="0.3">
      <c r="C26">
        <v>53357</v>
      </c>
      <c r="D26" s="18">
        <v>45832.846909722219</v>
      </c>
      <c r="E26" t="s">
        <v>18</v>
      </c>
      <c r="F26" t="s">
        <v>19</v>
      </c>
      <c r="G26" s="16">
        <v>12312312398</v>
      </c>
      <c r="H26" s="17">
        <v>11931713388</v>
      </c>
    </row>
    <row r="30" spans="3:8" x14ac:dyDescent="0.3">
      <c r="F30" s="16"/>
      <c r="G30" s="17"/>
    </row>
    <row r="31" spans="3:8" x14ac:dyDescent="0.3">
      <c r="F31" s="16"/>
      <c r="G31" s="17"/>
    </row>
    <row r="32" spans="3:8" x14ac:dyDescent="0.3">
      <c r="F32" s="16"/>
      <c r="G32" s="17"/>
    </row>
    <row r="33" spans="6:7" x14ac:dyDescent="0.3">
      <c r="F33" s="16"/>
      <c r="G33" s="17"/>
    </row>
    <row r="34" spans="6:7" x14ac:dyDescent="0.3">
      <c r="F34" s="16"/>
      <c r="G34" s="17"/>
    </row>
    <row r="35" spans="6:7" x14ac:dyDescent="0.3">
      <c r="F35" s="16"/>
      <c r="G35" s="17"/>
    </row>
    <row r="36" spans="6:7" x14ac:dyDescent="0.3">
      <c r="F36" s="16"/>
      <c r="G36" s="17"/>
    </row>
    <row r="37" spans="6:7" x14ac:dyDescent="0.3">
      <c r="F37" s="16"/>
      <c r="G37" s="17"/>
    </row>
    <row r="38" spans="6:7" x14ac:dyDescent="0.3">
      <c r="F38" s="16"/>
      <c r="G38" s="17"/>
    </row>
    <row r="39" spans="6:7" x14ac:dyDescent="0.3">
      <c r="F39" s="16"/>
      <c r="G39" s="17"/>
    </row>
    <row r="40" spans="6:7" x14ac:dyDescent="0.3">
      <c r="F40" s="16"/>
      <c r="G40" s="17"/>
    </row>
    <row r="41" spans="6:7" x14ac:dyDescent="0.3">
      <c r="F41" s="16"/>
      <c r="G41" s="17"/>
    </row>
    <row r="42" spans="6:7" x14ac:dyDescent="0.3">
      <c r="F42" s="16"/>
      <c r="G42" s="17"/>
    </row>
    <row r="43" spans="6:7" x14ac:dyDescent="0.3">
      <c r="F43" s="16"/>
    </row>
    <row r="44" spans="6:7" x14ac:dyDescent="0.3">
      <c r="F44" s="16"/>
    </row>
  </sheetData>
  <sheetProtection selectLockedCells="1"/>
  <mergeCells count="30">
    <mergeCell ref="F18:H18"/>
    <mergeCell ref="F19:H19"/>
    <mergeCell ref="C4:H4"/>
    <mergeCell ref="C23:H23"/>
    <mergeCell ref="F6:H6"/>
    <mergeCell ref="F7:H7"/>
    <mergeCell ref="F8:H8"/>
    <mergeCell ref="F9:H9"/>
    <mergeCell ref="F10:H10"/>
    <mergeCell ref="F11:H11"/>
    <mergeCell ref="F12:H12"/>
    <mergeCell ref="F13:H13"/>
    <mergeCell ref="F14:H14"/>
    <mergeCell ref="F15:H15"/>
    <mergeCell ref="F16:H16"/>
    <mergeCell ref="F17:H17"/>
    <mergeCell ref="C15:E15"/>
    <mergeCell ref="C16:E16"/>
    <mergeCell ref="C17:E17"/>
    <mergeCell ref="C18:E18"/>
    <mergeCell ref="C19:E19"/>
    <mergeCell ref="C10:E10"/>
    <mergeCell ref="C11:E11"/>
    <mergeCell ref="C12:E12"/>
    <mergeCell ref="C13:E13"/>
    <mergeCell ref="C14:E14"/>
    <mergeCell ref="C6:E6"/>
    <mergeCell ref="C7:E7"/>
    <mergeCell ref="C8:E8"/>
    <mergeCell ref="C9:E9"/>
  </mergeCells>
  <dataValidations count="1">
    <dataValidation type="list" allowBlank="1" showInputMessage="1" showErrorMessage="1" sqref="F17:F19" xr:uid="{54951301-173D-4AFD-B67C-17F1DCDBCF36}">
      <formula1>"SIM,NÃO"</formula1>
    </dataValidation>
  </dataValidations>
  <hyperlinks>
    <hyperlink ref="F16" r:id="rId2" xr:uid="{B4297533-4A9D-4B59-BA33-0DC570DF76D1}"/>
  </hyperlinks>
  <pageMargins left="0.511811024" right="0.511811024" top="0.78740157499999996" bottom="0.78740157499999996" header="0.31496062000000002" footer="0.3149606200000000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33EFF-B3E5-42DF-A97E-515E80C1ADCE}">
  <sheetPr codeName="Planilha2"/>
  <dimension ref="A3:G19"/>
  <sheetViews>
    <sheetView showGridLines="0" showRowColHeaders="0" tabSelected="1" workbookViewId="0">
      <selection activeCell="H24" sqref="H24"/>
    </sheetView>
  </sheetViews>
  <sheetFormatPr defaultRowHeight="14.4" x14ac:dyDescent="0.3"/>
  <cols>
    <col min="1" max="1" width="29.88671875" style="1" customWidth="1"/>
    <col min="3" max="3" width="10.6640625" customWidth="1"/>
    <col min="4" max="4" width="19.88671875" bestFit="1" customWidth="1"/>
    <col min="5" max="5" width="32" bestFit="1" customWidth="1"/>
    <col min="6" max="6" width="15.33203125" bestFit="1" customWidth="1"/>
    <col min="7" max="7" width="14.21875" bestFit="1" customWidth="1"/>
  </cols>
  <sheetData>
    <row r="3" spans="3:7" ht="20.399999999999999" thickBot="1" x14ac:dyDescent="0.45">
      <c r="C3" s="2" t="s">
        <v>23</v>
      </c>
      <c r="D3" s="2"/>
      <c r="E3" s="2"/>
      <c r="F3" s="2"/>
      <c r="G3" s="2"/>
    </row>
    <row r="4" spans="3:7" ht="22.05" customHeight="1" thickTop="1" x14ac:dyDescent="0.3">
      <c r="C4" s="27" t="s">
        <v>25</v>
      </c>
      <c r="D4" s="27"/>
      <c r="E4" s="27"/>
      <c r="F4" s="27"/>
      <c r="G4" s="27"/>
    </row>
    <row r="6" spans="3:7" ht="16.8" x14ac:dyDescent="0.3">
      <c r="C6" s="34" t="s">
        <v>24</v>
      </c>
      <c r="D6" s="34"/>
      <c r="E6" s="32" t="s">
        <v>35</v>
      </c>
    </row>
    <row r="7" spans="3:7" ht="20.55" customHeight="1" x14ac:dyDescent="0.3">
      <c r="C7" s="34" t="s">
        <v>26</v>
      </c>
      <c r="D7" s="34"/>
      <c r="E7" s="33">
        <v>169367</v>
      </c>
    </row>
    <row r="8" spans="3:7" ht="16.8" x14ac:dyDescent="0.3">
      <c r="C8" s="34" t="s">
        <v>27</v>
      </c>
      <c r="D8" s="34"/>
      <c r="E8" s="32" t="s">
        <v>79</v>
      </c>
    </row>
    <row r="10" spans="3:7" x14ac:dyDescent="0.3">
      <c r="C10" s="5"/>
    </row>
    <row r="13" spans="3:7" ht="20.399999999999999" thickBot="1" x14ac:dyDescent="0.45">
      <c r="C13" s="2" t="s">
        <v>91</v>
      </c>
      <c r="D13" s="2"/>
      <c r="E13" s="2"/>
      <c r="F13" s="2"/>
      <c r="G13" s="2"/>
    </row>
    <row r="14" spans="3:7" ht="15" thickTop="1" x14ac:dyDescent="0.3">
      <c r="C14" s="15" t="s">
        <v>87</v>
      </c>
      <c r="D14" s="15" t="s">
        <v>90</v>
      </c>
      <c r="E14" s="15" t="s">
        <v>24</v>
      </c>
      <c r="F14" s="15" t="s">
        <v>27</v>
      </c>
      <c r="G14" t="s">
        <v>92</v>
      </c>
    </row>
    <row r="15" spans="3:7" x14ac:dyDescent="0.3">
      <c r="C15">
        <v>64309</v>
      </c>
      <c r="D15" s="18">
        <v>45832.842511574076</v>
      </c>
      <c r="E15" t="s">
        <v>32</v>
      </c>
      <c r="F15" t="s">
        <v>79</v>
      </c>
      <c r="G15" s="31">
        <v>500000</v>
      </c>
    </row>
    <row r="16" spans="3:7" x14ac:dyDescent="0.3">
      <c r="C16">
        <v>64309</v>
      </c>
      <c r="D16" s="18">
        <v>45832.84302083333</v>
      </c>
      <c r="E16" t="s">
        <v>37</v>
      </c>
      <c r="F16" t="s">
        <v>79</v>
      </c>
      <c r="G16" s="31">
        <v>850000</v>
      </c>
    </row>
    <row r="17" spans="3:7" x14ac:dyDescent="0.3">
      <c r="C17">
        <v>64309</v>
      </c>
      <c r="D17" s="18">
        <v>45832.843819444446</v>
      </c>
      <c r="E17" t="s">
        <v>39</v>
      </c>
      <c r="F17" t="s">
        <v>79</v>
      </c>
      <c r="G17" s="31">
        <v>256000</v>
      </c>
    </row>
    <row r="18" spans="3:7" x14ac:dyDescent="0.3">
      <c r="C18">
        <v>64309</v>
      </c>
      <c r="D18" s="18">
        <v>45832.844305555554</v>
      </c>
      <c r="E18" t="s">
        <v>35</v>
      </c>
      <c r="F18" t="s">
        <v>79</v>
      </c>
      <c r="G18" s="31">
        <v>169367</v>
      </c>
    </row>
    <row r="19" spans="3:7" x14ac:dyDescent="0.3">
      <c r="C19" t="s">
        <v>88</v>
      </c>
      <c r="G19" s="31">
        <v>1775367</v>
      </c>
    </row>
  </sheetData>
  <sheetProtection selectLockedCells="1"/>
  <mergeCells count="4">
    <mergeCell ref="C7:D7"/>
    <mergeCell ref="C6:D6"/>
    <mergeCell ref="C8:D8"/>
    <mergeCell ref="C4:G4"/>
  </mergeCells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Informe um banco" prompt="Informe um banco vinculado ao seu cpf" xr:uid="{8E8F4148-0197-4DB2-A72A-B1A764002E4A}">
          <x14:formula1>
            <xm:f>TABELAS!$A$2:$A$51</xm:f>
          </x14:formula1>
          <xm:sqref>E6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BA299-F02A-401D-8ABB-9A137D2C9703}">
  <sheetPr codeName="Planilha3"/>
  <dimension ref="A3:E35"/>
  <sheetViews>
    <sheetView showGridLines="0" showRowColHeaders="0" workbookViewId="0">
      <selection activeCell="E16" sqref="E16"/>
    </sheetView>
  </sheetViews>
  <sheetFormatPr defaultRowHeight="14.4" x14ac:dyDescent="0.3"/>
  <cols>
    <col min="1" max="1" width="29.88671875" style="1" customWidth="1"/>
    <col min="3" max="5" width="21.88671875" customWidth="1"/>
  </cols>
  <sheetData>
    <row r="3" spans="3:5" ht="20.399999999999999" thickBot="1" x14ac:dyDescent="0.45">
      <c r="C3" s="2" t="s">
        <v>81</v>
      </c>
      <c r="D3" s="3"/>
      <c r="E3" s="3"/>
    </row>
    <row r="4" spans="3:5" ht="22.05" customHeight="1" thickTop="1" x14ac:dyDescent="0.3">
      <c r="C4" s="10" t="s">
        <v>80</v>
      </c>
      <c r="D4" s="10"/>
      <c r="E4" s="10"/>
    </row>
    <row r="7" spans="3:5" ht="16.8" x14ac:dyDescent="0.4">
      <c r="C7" s="11" t="s">
        <v>85</v>
      </c>
      <c r="D7" s="11"/>
      <c r="E7" s="11"/>
    </row>
    <row r="8" spans="3:5" ht="15" x14ac:dyDescent="0.35">
      <c r="C8" s="6" t="s">
        <v>82</v>
      </c>
      <c r="D8" s="6" t="s">
        <v>83</v>
      </c>
      <c r="E8" s="6" t="s">
        <v>84</v>
      </c>
    </row>
    <row r="9" spans="3:5" ht="16.8" x14ac:dyDescent="0.4">
      <c r="C9" s="7">
        <v>45775</v>
      </c>
      <c r="D9" s="8" t="s">
        <v>86</v>
      </c>
      <c r="E9" s="9">
        <v>3000</v>
      </c>
    </row>
    <row r="10" spans="3:5" ht="16.8" x14ac:dyDescent="0.4">
      <c r="C10" s="8"/>
      <c r="D10" s="8"/>
      <c r="E10" s="9"/>
    </row>
    <row r="11" spans="3:5" ht="16.8" x14ac:dyDescent="0.4">
      <c r="C11" s="8"/>
      <c r="D11" s="8"/>
      <c r="E11" s="9"/>
    </row>
    <row r="12" spans="3:5" ht="16.8" x14ac:dyDescent="0.4">
      <c r="C12" s="8"/>
      <c r="D12" s="8"/>
      <c r="E12" s="9"/>
    </row>
    <row r="13" spans="3:5" ht="16.8" x14ac:dyDescent="0.4">
      <c r="C13" s="8"/>
      <c r="D13" s="8"/>
      <c r="E13" s="9"/>
    </row>
    <row r="14" spans="3:5" ht="16.8" x14ac:dyDescent="0.4">
      <c r="C14" s="8"/>
      <c r="D14" s="8"/>
      <c r="E14" s="9"/>
    </row>
    <row r="15" spans="3:5" ht="16.8" x14ac:dyDescent="0.4">
      <c r="C15" s="8"/>
      <c r="D15" s="8"/>
      <c r="E15" s="9"/>
    </row>
    <row r="16" spans="3:5" ht="16.8" x14ac:dyDescent="0.4">
      <c r="C16" s="8"/>
      <c r="D16" s="8"/>
      <c r="E16" s="9"/>
    </row>
    <row r="17" spans="3:5" ht="16.8" x14ac:dyDescent="0.4">
      <c r="C17" s="8"/>
      <c r="D17" s="8"/>
      <c r="E17" s="9"/>
    </row>
    <row r="18" spans="3:5" ht="16.8" x14ac:dyDescent="0.4">
      <c r="C18" s="8"/>
      <c r="D18" s="8"/>
      <c r="E18" s="9"/>
    </row>
    <row r="19" spans="3:5" ht="16.8" x14ac:dyDescent="0.4">
      <c r="C19" s="8"/>
      <c r="D19" s="8"/>
      <c r="E19" s="9"/>
    </row>
    <row r="20" spans="3:5" ht="16.8" x14ac:dyDescent="0.4">
      <c r="C20" s="8"/>
      <c r="D20" s="8"/>
      <c r="E20" s="9"/>
    </row>
    <row r="21" spans="3:5" ht="16.8" x14ac:dyDescent="0.4">
      <c r="C21" s="8"/>
      <c r="D21" s="8"/>
      <c r="E21" s="9"/>
    </row>
    <row r="22" spans="3:5" ht="16.8" x14ac:dyDescent="0.4">
      <c r="C22" s="8"/>
      <c r="D22" s="8"/>
      <c r="E22" s="9"/>
    </row>
    <row r="23" spans="3:5" ht="16.8" x14ac:dyDescent="0.4">
      <c r="C23" s="8"/>
      <c r="D23" s="8"/>
      <c r="E23" s="9"/>
    </row>
    <row r="24" spans="3:5" ht="16.8" x14ac:dyDescent="0.4">
      <c r="C24" s="8"/>
      <c r="D24" s="8"/>
      <c r="E24" s="9"/>
    </row>
    <row r="25" spans="3:5" ht="16.8" x14ac:dyDescent="0.4">
      <c r="C25" s="8"/>
      <c r="D25" s="8"/>
      <c r="E25" s="9"/>
    </row>
    <row r="26" spans="3:5" ht="16.8" x14ac:dyDescent="0.4">
      <c r="C26" s="8"/>
      <c r="D26" s="8"/>
      <c r="E26" s="9"/>
    </row>
    <row r="27" spans="3:5" ht="16.8" x14ac:dyDescent="0.4">
      <c r="C27" s="8"/>
      <c r="D27" s="8"/>
      <c r="E27" s="9"/>
    </row>
    <row r="28" spans="3:5" ht="16.8" x14ac:dyDescent="0.4">
      <c r="C28" s="8"/>
      <c r="D28" s="8"/>
      <c r="E28" s="9"/>
    </row>
    <row r="29" spans="3:5" ht="16.8" x14ac:dyDescent="0.4">
      <c r="C29" s="8"/>
      <c r="D29" s="8"/>
      <c r="E29" s="9"/>
    </row>
    <row r="30" spans="3:5" ht="16.8" x14ac:dyDescent="0.4">
      <c r="C30" s="8"/>
      <c r="D30" s="8"/>
      <c r="E30" s="9"/>
    </row>
    <row r="31" spans="3:5" ht="16.8" x14ac:dyDescent="0.4">
      <c r="C31" s="8"/>
      <c r="D31" s="8"/>
      <c r="E31" s="9"/>
    </row>
    <row r="32" spans="3:5" ht="16.8" x14ac:dyDescent="0.4">
      <c r="C32" s="8"/>
      <c r="D32" s="8"/>
      <c r="E32" s="9"/>
    </row>
    <row r="33" spans="3:5" ht="16.8" x14ac:dyDescent="0.4">
      <c r="C33" s="8"/>
      <c r="D33" s="8"/>
      <c r="E33" s="9"/>
    </row>
    <row r="34" spans="3:5" ht="16.8" x14ac:dyDescent="0.4">
      <c r="C34" s="8"/>
      <c r="D34" s="8"/>
      <c r="E34" s="9"/>
    </row>
    <row r="35" spans="3:5" ht="16.8" x14ac:dyDescent="0.4">
      <c r="C35" s="8"/>
      <c r="D35" s="8"/>
      <c r="E35" s="9"/>
    </row>
  </sheetData>
  <sheetProtection sheet="1" objects="1" scenarios="1" selectLockedCells="1"/>
  <mergeCells count="2">
    <mergeCell ref="C4:E4"/>
    <mergeCell ref="C7:E7"/>
  </mergeCells>
  <dataValidations count="1">
    <dataValidation type="list" allowBlank="1" showInputMessage="1" showErrorMessage="1" sqref="D9:D35" xr:uid="{96D22A78-575E-4C00-9B15-6A8EAE1F45C5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DEF32-6438-4CA1-8EC9-BD79E101C877}">
  <sheetPr codeName="Planilha4"/>
  <dimension ref="A1:P3"/>
  <sheetViews>
    <sheetView workbookViewId="0">
      <pane ySplit="1" topLeftCell="A2" activePane="bottomLeft" state="frozen"/>
      <selection pane="bottomLeft" activeCell="C11" sqref="C11"/>
    </sheetView>
  </sheetViews>
  <sheetFormatPr defaultRowHeight="14.4" x14ac:dyDescent="0.3"/>
  <cols>
    <col min="1" max="1" width="8.109375" customWidth="1"/>
    <col min="2" max="2" width="17.88671875" customWidth="1"/>
    <col min="3" max="3" width="27.21875" bestFit="1" customWidth="1"/>
    <col min="4" max="4" width="12" bestFit="1" customWidth="1"/>
    <col min="5" max="5" width="15.77734375" customWidth="1"/>
    <col min="6" max="6" width="22" bestFit="1" customWidth="1"/>
    <col min="7" max="7" width="12.5546875" bestFit="1" customWidth="1"/>
    <col min="8" max="8" width="28.21875" bestFit="1" customWidth="1"/>
    <col min="9" max="9" width="25.109375" bestFit="1" customWidth="1"/>
    <col min="10" max="10" width="10" bestFit="1" customWidth="1"/>
    <col min="11" max="11" width="12.109375" customWidth="1"/>
    <col min="12" max="12" width="12" bestFit="1" customWidth="1"/>
    <col min="13" max="13" width="12.6640625" bestFit="1" customWidth="1"/>
    <col min="14" max="14" width="42.33203125" customWidth="1"/>
    <col min="15" max="15" width="23.6640625" customWidth="1"/>
    <col min="16" max="16" width="24.5546875" customWidth="1"/>
  </cols>
  <sheetData>
    <row r="1" spans="1:16" s="14" customFormat="1" ht="16.8" x14ac:dyDescent="0.3">
      <c r="A1" s="13" t="s">
        <v>87</v>
      </c>
      <c r="B1" s="13" t="s">
        <v>90</v>
      </c>
      <c r="C1" s="13" t="s">
        <v>0</v>
      </c>
      <c r="D1" s="13" t="s">
        <v>1</v>
      </c>
      <c r="E1" s="13" t="s">
        <v>2</v>
      </c>
      <c r="F1" s="13" t="s">
        <v>3</v>
      </c>
      <c r="G1" s="13" t="s">
        <v>4</v>
      </c>
      <c r="H1" s="13" t="s">
        <v>5</v>
      </c>
      <c r="I1" s="13" t="s">
        <v>6</v>
      </c>
      <c r="J1" s="13" t="s">
        <v>7</v>
      </c>
      <c r="K1" s="13" t="s">
        <v>8</v>
      </c>
      <c r="L1" s="13" t="s">
        <v>9</v>
      </c>
      <c r="M1" s="13" t="s">
        <v>10</v>
      </c>
      <c r="N1" s="13" t="s">
        <v>11</v>
      </c>
      <c r="O1" s="13" t="s">
        <v>12</v>
      </c>
      <c r="P1" s="13" t="s">
        <v>13</v>
      </c>
    </row>
    <row r="2" spans="1:16" x14ac:dyDescent="0.3">
      <c r="A2">
        <v>53357</v>
      </c>
      <c r="B2" s="18">
        <v>45832.846909722219</v>
      </c>
      <c r="C2" t="s">
        <v>18</v>
      </c>
      <c r="D2">
        <v>12312312398</v>
      </c>
      <c r="E2" s="12">
        <v>34605</v>
      </c>
      <c r="F2">
        <v>31713388</v>
      </c>
      <c r="G2" t="s">
        <v>22</v>
      </c>
      <c r="H2" t="s">
        <v>21</v>
      </c>
      <c r="I2" t="s">
        <v>20</v>
      </c>
      <c r="J2">
        <v>987654321</v>
      </c>
      <c r="K2">
        <v>1131713388</v>
      </c>
      <c r="L2">
        <v>11931713388</v>
      </c>
      <c r="M2" t="s">
        <v>19</v>
      </c>
      <c r="N2" t="s">
        <v>16</v>
      </c>
      <c r="O2" t="s">
        <v>17</v>
      </c>
      <c r="P2" t="s">
        <v>17</v>
      </c>
    </row>
    <row r="3" spans="1:16" x14ac:dyDescent="0.3">
      <c r="A3">
        <v>51884</v>
      </c>
      <c r="B3" s="18">
        <v>45832.847824074073</v>
      </c>
      <c r="C3" t="s">
        <v>18</v>
      </c>
      <c r="D3">
        <v>12312312398</v>
      </c>
      <c r="E3" s="12">
        <v>34605</v>
      </c>
      <c r="F3">
        <v>31713388</v>
      </c>
      <c r="G3" t="s">
        <v>22</v>
      </c>
      <c r="H3" t="s">
        <v>21</v>
      </c>
      <c r="I3" t="s">
        <v>20</v>
      </c>
      <c r="J3">
        <v>987654321</v>
      </c>
      <c r="K3">
        <v>1131713388</v>
      </c>
      <c r="L3">
        <v>11931713388</v>
      </c>
      <c r="M3" t="s">
        <v>19</v>
      </c>
      <c r="N3" t="s">
        <v>16</v>
      </c>
      <c r="O3" t="s">
        <v>17</v>
      </c>
      <c r="P3" t="s">
        <v>17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893AA-609F-42CB-861D-FDBC69C4A725}">
  <sheetPr codeName="Planilha6"/>
  <dimension ref="A1:E5"/>
  <sheetViews>
    <sheetView workbookViewId="0">
      <pane ySplit="1" topLeftCell="A2" activePane="bottomLeft" state="frozen"/>
      <selection pane="bottomLeft" activeCell="C6" sqref="C6"/>
    </sheetView>
  </sheetViews>
  <sheetFormatPr defaultRowHeight="14.4" x14ac:dyDescent="0.3"/>
  <cols>
    <col min="1" max="1" width="8.109375" customWidth="1"/>
    <col min="2" max="2" width="17.88671875" customWidth="1"/>
    <col min="3" max="3" width="30.33203125" bestFit="1" customWidth="1"/>
    <col min="4" max="4" width="16.77734375" bestFit="1" customWidth="1"/>
    <col min="5" max="5" width="15.33203125" customWidth="1"/>
  </cols>
  <sheetData>
    <row r="1" spans="1:5" s="14" customFormat="1" ht="16.8" x14ac:dyDescent="0.4">
      <c r="A1" s="13" t="s">
        <v>87</v>
      </c>
      <c r="B1" s="13" t="s">
        <v>90</v>
      </c>
      <c r="C1" s="29" t="s">
        <v>24</v>
      </c>
      <c r="D1" s="29" t="s">
        <v>26</v>
      </c>
      <c r="E1" s="29" t="s">
        <v>27</v>
      </c>
    </row>
    <row r="2" spans="1:5" x14ac:dyDescent="0.3">
      <c r="A2">
        <v>64309</v>
      </c>
      <c r="B2" s="18">
        <v>45832.842511574076</v>
      </c>
      <c r="C2" t="s">
        <v>32</v>
      </c>
      <c r="D2" s="30">
        <v>500000</v>
      </c>
      <c r="E2" s="12" t="s">
        <v>79</v>
      </c>
    </row>
    <row r="3" spans="1:5" x14ac:dyDescent="0.3">
      <c r="A3">
        <v>64309</v>
      </c>
      <c r="B3" s="18">
        <v>45832.84302083333</v>
      </c>
      <c r="C3" t="s">
        <v>37</v>
      </c>
      <c r="D3" s="30">
        <v>850000</v>
      </c>
      <c r="E3" s="12" t="s">
        <v>79</v>
      </c>
    </row>
    <row r="4" spans="1:5" x14ac:dyDescent="0.3">
      <c r="A4">
        <v>64309</v>
      </c>
      <c r="B4" s="18">
        <v>45832.843819444446</v>
      </c>
      <c r="C4" t="s">
        <v>39</v>
      </c>
      <c r="D4" s="30">
        <v>256000</v>
      </c>
      <c r="E4" s="12" t="s">
        <v>79</v>
      </c>
    </row>
    <row r="5" spans="1:5" x14ac:dyDescent="0.3">
      <c r="A5">
        <v>64309</v>
      </c>
      <c r="B5" s="18">
        <v>45832.844305555554</v>
      </c>
      <c r="C5" t="s">
        <v>35</v>
      </c>
      <c r="D5" s="30">
        <v>169367</v>
      </c>
      <c r="E5" s="12" t="s">
        <v>79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C13C1-36A7-4840-8281-BDE1E2320123}">
  <sheetPr codeName="Planilha5"/>
  <dimension ref="A1:A51"/>
  <sheetViews>
    <sheetView showGridLines="0" topLeftCell="A39" workbookViewId="0"/>
  </sheetViews>
  <sheetFormatPr defaultRowHeight="14.4" x14ac:dyDescent="0.3"/>
  <cols>
    <col min="1" max="1" width="37.21875" bestFit="1" customWidth="1"/>
  </cols>
  <sheetData>
    <row r="1" spans="1:1" x14ac:dyDescent="0.3">
      <c r="A1" s="4" t="s">
        <v>28</v>
      </c>
    </row>
    <row r="2" spans="1:1" x14ac:dyDescent="0.3">
      <c r="A2" t="s">
        <v>29</v>
      </c>
    </row>
    <row r="3" spans="1:1" x14ac:dyDescent="0.3">
      <c r="A3" t="s">
        <v>30</v>
      </c>
    </row>
    <row r="4" spans="1:1" x14ac:dyDescent="0.3">
      <c r="A4" t="s">
        <v>31</v>
      </c>
    </row>
    <row r="5" spans="1:1" x14ac:dyDescent="0.3">
      <c r="A5" t="s">
        <v>32</v>
      </c>
    </row>
    <row r="6" spans="1:1" x14ac:dyDescent="0.3">
      <c r="A6" t="s">
        <v>33</v>
      </c>
    </row>
    <row r="7" spans="1:1" x14ac:dyDescent="0.3">
      <c r="A7" t="s">
        <v>34</v>
      </c>
    </row>
    <row r="8" spans="1:1" x14ac:dyDescent="0.3">
      <c r="A8" t="s">
        <v>35</v>
      </c>
    </row>
    <row r="9" spans="1:1" x14ac:dyDescent="0.3">
      <c r="A9" t="s">
        <v>36</v>
      </c>
    </row>
    <row r="10" spans="1:1" x14ac:dyDescent="0.3">
      <c r="A10" t="s">
        <v>37</v>
      </c>
    </row>
    <row r="11" spans="1:1" x14ac:dyDescent="0.3">
      <c r="A11" t="s">
        <v>38</v>
      </c>
    </row>
    <row r="12" spans="1:1" x14ac:dyDescent="0.3">
      <c r="A12" t="s">
        <v>39</v>
      </c>
    </row>
    <row r="13" spans="1:1" x14ac:dyDescent="0.3">
      <c r="A13" t="s">
        <v>40</v>
      </c>
    </row>
    <row r="14" spans="1:1" x14ac:dyDescent="0.3">
      <c r="A14" t="s">
        <v>41</v>
      </c>
    </row>
    <row r="15" spans="1:1" x14ac:dyDescent="0.3">
      <c r="A15" t="s">
        <v>42</v>
      </c>
    </row>
    <row r="16" spans="1:1" x14ac:dyDescent="0.3">
      <c r="A16" t="s">
        <v>43</v>
      </c>
    </row>
    <row r="17" spans="1:1" x14ac:dyDescent="0.3">
      <c r="A17" t="s">
        <v>44</v>
      </c>
    </row>
    <row r="18" spans="1:1" x14ac:dyDescent="0.3">
      <c r="A18" t="s">
        <v>45</v>
      </c>
    </row>
    <row r="19" spans="1:1" x14ac:dyDescent="0.3">
      <c r="A19" t="s">
        <v>46</v>
      </c>
    </row>
    <row r="20" spans="1:1" x14ac:dyDescent="0.3">
      <c r="A20" t="s">
        <v>47</v>
      </c>
    </row>
    <row r="21" spans="1:1" x14ac:dyDescent="0.3">
      <c r="A21" t="s">
        <v>48</v>
      </c>
    </row>
    <row r="22" spans="1:1" x14ac:dyDescent="0.3">
      <c r="A22" t="s">
        <v>49</v>
      </c>
    </row>
    <row r="23" spans="1:1" x14ac:dyDescent="0.3">
      <c r="A23" t="s">
        <v>50</v>
      </c>
    </row>
    <row r="24" spans="1:1" x14ac:dyDescent="0.3">
      <c r="A24" t="s">
        <v>51</v>
      </c>
    </row>
    <row r="25" spans="1:1" x14ac:dyDescent="0.3">
      <c r="A25" t="s">
        <v>52</v>
      </c>
    </row>
    <row r="26" spans="1:1" x14ac:dyDescent="0.3">
      <c r="A26" t="s">
        <v>53</v>
      </c>
    </row>
    <row r="27" spans="1:1" x14ac:dyDescent="0.3">
      <c r="A27" t="s">
        <v>54</v>
      </c>
    </row>
    <row r="28" spans="1:1" x14ac:dyDescent="0.3">
      <c r="A28" t="s">
        <v>55</v>
      </c>
    </row>
    <row r="29" spans="1:1" x14ac:dyDescent="0.3">
      <c r="A29" t="s">
        <v>56</v>
      </c>
    </row>
    <row r="30" spans="1:1" x14ac:dyDescent="0.3">
      <c r="A30" t="s">
        <v>57</v>
      </c>
    </row>
    <row r="31" spans="1:1" x14ac:dyDescent="0.3">
      <c r="A31" t="s">
        <v>58</v>
      </c>
    </row>
    <row r="32" spans="1:1" x14ac:dyDescent="0.3">
      <c r="A32" t="s">
        <v>59</v>
      </c>
    </row>
    <row r="33" spans="1:1" x14ac:dyDescent="0.3">
      <c r="A33" t="s">
        <v>60</v>
      </c>
    </row>
    <row r="34" spans="1:1" x14ac:dyDescent="0.3">
      <c r="A34" t="s">
        <v>61</v>
      </c>
    </row>
    <row r="35" spans="1:1" x14ac:dyDescent="0.3">
      <c r="A35" t="s">
        <v>62</v>
      </c>
    </row>
    <row r="36" spans="1:1" x14ac:dyDescent="0.3">
      <c r="A36" t="s">
        <v>63</v>
      </c>
    </row>
    <row r="37" spans="1:1" x14ac:dyDescent="0.3">
      <c r="A37" t="s">
        <v>64</v>
      </c>
    </row>
    <row r="38" spans="1:1" x14ac:dyDescent="0.3">
      <c r="A38" t="s">
        <v>65</v>
      </c>
    </row>
    <row r="39" spans="1:1" x14ac:dyDescent="0.3">
      <c r="A39" t="s">
        <v>66</v>
      </c>
    </row>
    <row r="40" spans="1:1" x14ac:dyDescent="0.3">
      <c r="A40" t="s">
        <v>67</v>
      </c>
    </row>
    <row r="41" spans="1:1" x14ac:dyDescent="0.3">
      <c r="A41" t="s">
        <v>68</v>
      </c>
    </row>
    <row r="42" spans="1:1" x14ac:dyDescent="0.3">
      <c r="A42" t="s">
        <v>69</v>
      </c>
    </row>
    <row r="43" spans="1:1" x14ac:dyDescent="0.3">
      <c r="A43" t="s">
        <v>70</v>
      </c>
    </row>
    <row r="44" spans="1:1" x14ac:dyDescent="0.3">
      <c r="A44" t="s">
        <v>71</v>
      </c>
    </row>
    <row r="45" spans="1:1" x14ac:dyDescent="0.3">
      <c r="A45" t="s">
        <v>72</v>
      </c>
    </row>
    <row r="46" spans="1:1" x14ac:dyDescent="0.3">
      <c r="A46" t="s">
        <v>73</v>
      </c>
    </row>
    <row r="47" spans="1:1" x14ac:dyDescent="0.3">
      <c r="A47" t="s">
        <v>74</v>
      </c>
    </row>
    <row r="48" spans="1:1" x14ac:dyDescent="0.3">
      <c r="A48" t="s">
        <v>75</v>
      </c>
    </row>
    <row r="49" spans="1:1" x14ac:dyDescent="0.3">
      <c r="A49" t="s">
        <v>76</v>
      </c>
    </row>
    <row r="50" spans="1:1" x14ac:dyDescent="0.3">
      <c r="A50" t="s">
        <v>77</v>
      </c>
    </row>
    <row r="51" spans="1:1" x14ac:dyDescent="0.3">
      <c r="A51" t="s">
        <v>78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1b35d3-0456-4d6a-bc2f-da927e91d158">
      <Terms xmlns="http://schemas.microsoft.com/office/infopath/2007/PartnerControls"/>
    </lcf76f155ced4ddcb4097134ff3c332f>
    <TaxCatchAll xmlns="19483571-f922-4e8e-9c1c-26f0a225213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1E48B58A68BE64E9120D347E3E06B3A" ma:contentTypeVersion="19" ma:contentTypeDescription="Crie um novo documento." ma:contentTypeScope="" ma:versionID="2f90046ec77328b7f86417d2e03b3d33">
  <xsd:schema xmlns:xsd="http://www.w3.org/2001/XMLSchema" xmlns:xs="http://www.w3.org/2001/XMLSchema" xmlns:p="http://schemas.microsoft.com/office/2006/metadata/properties" xmlns:ns2="851b35d3-0456-4d6a-bc2f-da927e91d158" xmlns:ns3="19483571-f922-4e8e-9c1c-26f0a2252132" targetNamespace="http://schemas.microsoft.com/office/2006/metadata/properties" ma:root="true" ma:fieldsID="c815006ac2d4f05ee97fdd57e40d8e38" ns2:_="" ns3:_="">
    <xsd:import namespace="851b35d3-0456-4d6a-bc2f-da927e91d158"/>
    <xsd:import namespace="19483571-f922-4e8e-9c1c-26f0a22521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b35d3-0456-4d6a-bc2f-da927e91d1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44a7fbd4-9dae-4371-bb8c-f658cfc5cb1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83571-f922-4e8e-9c1c-26f0a225213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4ca5b0e-bf34-4fb2-bc21-1657b419a556}" ma:internalName="TaxCatchAll" ma:showField="CatchAllData" ma:web="19483571-f922-4e8e-9c1c-26f0a22521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8804-D22A-466B-B8D8-D5406EDAC826}">
  <ds:schemaRefs>
    <ds:schemaRef ds:uri="http://schemas.microsoft.com/office/2006/metadata/properties"/>
    <ds:schemaRef ds:uri="http://schemas.microsoft.com/office/infopath/2007/PartnerControls"/>
    <ds:schemaRef ds:uri="851b35d3-0456-4d6a-bc2f-da927e91d158"/>
    <ds:schemaRef ds:uri="19483571-f922-4e8e-9c1c-26f0a2252132"/>
  </ds:schemaRefs>
</ds:datastoreItem>
</file>

<file path=customXml/itemProps2.xml><?xml version="1.0" encoding="utf-8"?>
<ds:datastoreItem xmlns:ds="http://schemas.openxmlformats.org/officeDocument/2006/customXml" ds:itemID="{BEF3645A-183E-4B6C-A5C9-282D00B11F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034FB2-15CF-4029-B390-CB3D697747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b35d3-0456-4d6a-bc2f-da927e91d158"/>
    <ds:schemaRef ds:uri="19483571-f922-4e8e-9c1c-26f0a22521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TITULAR</vt:lpstr>
      <vt:lpstr>INFORMES</vt:lpstr>
      <vt:lpstr>NOTAS</vt:lpstr>
      <vt:lpstr>BD_TITULAR</vt:lpstr>
      <vt:lpstr>BD_INFORMES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Silva Aguiar</dc:creator>
  <cp:lastModifiedBy>Fellipe Lima</cp:lastModifiedBy>
  <dcterms:created xsi:type="dcterms:W3CDTF">2025-04-28T13:43:30Z</dcterms:created>
  <dcterms:modified xsi:type="dcterms:W3CDTF">2025-06-24T23:36:28Z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0x01010001E48B58A68BE64E9120D347E3E06B3A</vt:lpwstr>
  </property>
</Properties>
</file>