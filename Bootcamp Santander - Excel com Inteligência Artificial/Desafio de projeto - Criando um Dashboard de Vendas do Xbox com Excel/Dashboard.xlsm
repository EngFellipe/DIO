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Meus Documentos\Cursos\DIO\Bootcamp Santander - Excel com Inteligência Artificial\Desafio de projeto - Criando um Dashboard de Vendas do Xbox com Excel\"/>
    </mc:Choice>
  </mc:AlternateContent>
  <xr:revisionPtr revIDLastSave="0" documentId="13_ncr:1_{EDFC8671-F5E4-4769-8C9C-C3598C34EF98}" xr6:coauthVersionLast="47" xr6:coauthVersionMax="47" xr10:uidLastSave="{00000000-0000-0000-0000-000000000000}"/>
  <bookViews>
    <workbookView xWindow="-108" yWindow="-108" windowWidth="23256" windowHeight="12456" tabRatio="572" firstSheet="3" activeTab="3" xr2:uid="{28DD5B76-0634-4F87-BE60-8BFA7EF2E23B}"/>
  </bookViews>
  <sheets>
    <sheet name="A̳ssets" sheetId="1" state="hidden" r:id="rId1"/>
    <sheet name="B̳ases" sheetId="2" state="hidden" r:id="rId2"/>
    <sheet name="C̳álculos" sheetId="3" state="hidden" r:id="rId3"/>
    <sheet name="Dashboard" sheetId="4" r:id="rId4"/>
  </sheets>
  <definedNames>
    <definedName name="_xleta.AND" hidden="1" xlm="1">#NAME?</definedName>
    <definedName name="SegmentaçãodeDados_Meses__Start_Date">#N/A</definedName>
    <definedName name="SegmentaçãodeDados_Subscription_Type">#N/A</definedName>
  </definedNames>
  <calcPr calcId="191029"/>
  <pivotCaches>
    <pivotCache cacheId="0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6" i="3" l="1"/>
  <c r="E25" i="3"/>
</calcChain>
</file>

<file path=xl/sharedStrings.xml><?xml version="1.0" encoding="utf-8"?>
<sst xmlns="http://schemas.openxmlformats.org/spreadsheetml/2006/main" count="2060" uniqueCount="343">
  <si>
    <t>Paleta de Cores</t>
  </si>
  <si>
    <t>Logos</t>
  </si>
  <si>
    <t># 9BC848</t>
  </si>
  <si>
    <t># 22C55E</t>
  </si>
  <si>
    <t># 2AE6B1</t>
  </si>
  <si>
    <t># 5BF6A8</t>
  </si>
  <si>
    <t># E8E6E9</t>
  </si>
  <si>
    <t>negative zone</t>
  </si>
  <si>
    <t>Xbox Color</t>
  </si>
  <si>
    <t>Menus</t>
  </si>
  <si>
    <t>ícones</t>
  </si>
  <si>
    <t>Subscriber ID</t>
  </si>
  <si>
    <t>Name</t>
  </si>
  <si>
    <t>Plan</t>
  </si>
  <si>
    <t>Start Date</t>
  </si>
  <si>
    <t>Auto Renewal</t>
  </si>
  <si>
    <t>Subscription Type</t>
  </si>
  <si>
    <t>João Silva</t>
  </si>
  <si>
    <t>Ultimate</t>
  </si>
  <si>
    <t>Yes</t>
  </si>
  <si>
    <t>Monthly</t>
  </si>
  <si>
    <t>Maria Oliveira</t>
  </si>
  <si>
    <t>Core</t>
  </si>
  <si>
    <t>No</t>
  </si>
  <si>
    <t>Annual</t>
  </si>
  <si>
    <t>Lucas Fernandes</t>
  </si>
  <si>
    <t>Standard</t>
  </si>
  <si>
    <t>Quarterly</t>
  </si>
  <si>
    <t>Ana Souza</t>
  </si>
  <si>
    <t>Pedro Gonçalves</t>
  </si>
  <si>
    <t>Minecraft Season Pass</t>
  </si>
  <si>
    <t>Minecraft Season Pass Price</t>
  </si>
  <si>
    <t>Coupon Value</t>
  </si>
  <si>
    <t>Total Value</t>
  </si>
  <si>
    <t>Felipe Costa</t>
  </si>
  <si>
    <t>Camila Ribeiro</t>
  </si>
  <si>
    <t>André Mendes</t>
  </si>
  <si>
    <t>Sofia Almeida</t>
  </si>
  <si>
    <t>Bruno Martins</t>
  </si>
  <si>
    <t>Rita Castro</t>
  </si>
  <si>
    <t>Marco Túlio</t>
  </si>
  <si>
    <t>Lívia Silveira</t>
  </si>
  <si>
    <t>Diogo Sousa</t>
  </si>
  <si>
    <t>Fernanda Lima</t>
  </si>
  <si>
    <t>Caio Pereira</t>
  </si>
  <si>
    <t>Beatriz Gomes</t>
  </si>
  <si>
    <t>Cesar Oliveira</t>
  </si>
  <si>
    <t>Débora Machado</t>
  </si>
  <si>
    <t>Eduardo Vargas</t>
  </si>
  <si>
    <t>Gabriela Santos</t>
  </si>
  <si>
    <t>Henrique Dias</t>
  </si>
  <si>
    <t>Isabela Moreira</t>
  </si>
  <si>
    <t>Joaquim Barbosa</t>
  </si>
  <si>
    <t>Lara Rocha</t>
  </si>
  <si>
    <t>Matheus Silva</t>
  </si>
  <si>
    <t>Nicole Costa</t>
  </si>
  <si>
    <t>Otávio Mendonça</t>
  </si>
  <si>
    <t>Paula Ferreira</t>
  </si>
  <si>
    <t>Raquel Alves</t>
  </si>
  <si>
    <t>Samuel Pires</t>
  </si>
  <si>
    <t>Tânia Barros</t>
  </si>
  <si>
    <t>Vinicius Lima</t>
  </si>
  <si>
    <t>Yasmin Teixeira</t>
  </si>
  <si>
    <t>Zé Carlos</t>
  </si>
  <si>
    <t>Amanda Nogueira</t>
  </si>
  <si>
    <t>Bruno Cavalheiro</t>
  </si>
  <si>
    <t>Carla Dias</t>
  </si>
  <si>
    <t>Diego Fontes</t>
  </si>
  <si>
    <t>Eunice Lima</t>
  </si>
  <si>
    <t>Fábio Martins</t>
  </si>
  <si>
    <t>Gisele Araújo</t>
  </si>
  <si>
    <t>Hélio Castro</t>
  </si>
  <si>
    <t>Ingrid Menezes</t>
  </si>
  <si>
    <t>Jorge Baptista</t>
  </si>
  <si>
    <t>Kléber Oliveira</t>
  </si>
  <si>
    <t>Luciana Freitas</t>
  </si>
  <si>
    <t>Márcia Eller</t>
  </si>
  <si>
    <t>Nilo Peçanha</t>
  </si>
  <si>
    <t>Oscar Neves</t>
  </si>
  <si>
    <t>Patrícia Soares</t>
  </si>
  <si>
    <t>Quirino Gonçalves</t>
  </si>
  <si>
    <t>Raul Machado</t>
  </si>
  <si>
    <t>Sônia Lobo</t>
  </si>
  <si>
    <t>Tiago Ramos</t>
  </si>
  <si>
    <t>Ugo Pires</t>
  </si>
  <si>
    <t>Valéria Nobre</t>
  </si>
  <si>
    <t>William Siqueira</t>
  </si>
  <si>
    <t>Xuxa Meneghel</t>
  </si>
  <si>
    <t>Yara Figueiredo</t>
  </si>
  <si>
    <t>Zacarias Alves</t>
  </si>
  <si>
    <t>Amanda Bynes</t>
  </si>
  <si>
    <t>Bruno Mars</t>
  </si>
  <si>
    <t>Carla Bruni</t>
  </si>
  <si>
    <t>Diego Maradona</t>
  </si>
  <si>
    <t>Estela Marques</t>
  </si>
  <si>
    <t>Fábio Nobre</t>
  </si>
  <si>
    <t>Gabriel Oliveira</t>
  </si>
  <si>
    <t>Helena Santos</t>
  </si>
  <si>
    <t>Ivan Carvalho</t>
  </si>
  <si>
    <t>Júlia Ferreira</t>
  </si>
  <si>
    <t>Karla Alves</t>
  </si>
  <si>
    <t>Lucas Mendes</t>
  </si>
  <si>
    <t>Mônica Gomes</t>
  </si>
  <si>
    <t>Norberto Queiroz</t>
  </si>
  <si>
    <t>Otávio Barros</t>
  </si>
  <si>
    <t>Paula Vieira</t>
  </si>
  <si>
    <t>Quentin Ramos</t>
  </si>
  <si>
    <t>Raquel Novaes</t>
  </si>
  <si>
    <t>Samantha Lopes</t>
  </si>
  <si>
    <t>Tiago Martins</t>
  </si>
  <si>
    <t>Ulysses Guimarães</t>
  </si>
  <si>
    <t>Vanessa Silva</t>
  </si>
  <si>
    <t>William Carneiro</t>
  </si>
  <si>
    <t>Ximena Rocha</t>
  </si>
  <si>
    <t>Yasmin Figueiredo</t>
  </si>
  <si>
    <t>Zara Cunha</t>
  </si>
  <si>
    <t>Alan Teixeira</t>
  </si>
  <si>
    <t>Bárbara Oliveira</t>
  </si>
  <si>
    <t>Carlos Junqueira</t>
  </si>
  <si>
    <t>Daniela Moura</t>
  </si>
  <si>
    <t>Eduardo Lima</t>
  </si>
  <si>
    <t>Fabiana Araújo</t>
  </si>
  <si>
    <t>Geraldo Ribeiro</t>
  </si>
  <si>
    <t>Héctor Vargas</t>
  </si>
  <si>
    <t>Isabela Fonseca</t>
  </si>
  <si>
    <t>João Pedro Almeida</t>
  </si>
  <si>
    <t>Klara Costa</t>
  </si>
  <si>
    <t>Luciana Mendes</t>
  </si>
  <si>
    <t>Marcelo Gouveia</t>
  </si>
  <si>
    <t>Nívea Borges</t>
  </si>
  <si>
    <t>Oscar Nogueira</t>
  </si>
  <si>
    <t>Patrícia Alves</t>
  </si>
  <si>
    <t>Rafaela Silva</t>
  </si>
  <si>
    <t>Samantha Moraes</t>
  </si>
  <si>
    <t>Tatiana Rocha</t>
  </si>
  <si>
    <t>Ulisses Tavares</t>
  </si>
  <si>
    <t>Víctor Lemos</t>
  </si>
  <si>
    <t>Wilma Barros</t>
  </si>
  <si>
    <t>Xavier Nascimento</t>
  </si>
  <si>
    <t>Yago Pereira</t>
  </si>
  <si>
    <t>Zilda Ferreira</t>
  </si>
  <si>
    <t>Amanda Lopes</t>
  </si>
  <si>
    <t>Bruno Miranda</t>
  </si>
  <si>
    <t>Célia Torres</t>
  </si>
  <si>
    <t>Diogo Souza</t>
  </si>
  <si>
    <t>Elisa Castro</t>
  </si>
  <si>
    <t>Fátima Lima</t>
  </si>
  <si>
    <t>Hélio Martins</t>
  </si>
  <si>
    <t>Íris Santos</t>
  </si>
  <si>
    <t>João Marcelo</t>
  </si>
  <si>
    <t>Larissa Gomes</t>
  </si>
  <si>
    <t>Márcio Silva</t>
  </si>
  <si>
    <t>Nadia Costa</t>
  </si>
  <si>
    <t>Oscar Almeida</t>
  </si>
  <si>
    <t>Patricia Soares</t>
  </si>
  <si>
    <t>Quênia Barros</t>
  </si>
  <si>
    <t>Rafael Torres</t>
  </si>
  <si>
    <t>Silvia Nascimento</t>
  </si>
  <si>
    <t>Tiago Mendes</t>
  </si>
  <si>
    <t>Ursula Silva</t>
  </si>
  <si>
    <t>Vanessa Moraes</t>
  </si>
  <si>
    <t>Waldir Junior</t>
  </si>
  <si>
    <t>Xavier Lopes</t>
  </si>
  <si>
    <t>Yolanda Freitas</t>
  </si>
  <si>
    <t>Zacarias Nunes</t>
  </si>
  <si>
    <t>Ana Clara Barreto</t>
  </si>
  <si>
    <t>Bruno Henrique</t>
  </si>
  <si>
    <t>Carlos Eduardo</t>
  </si>
  <si>
    <t>Débora Lima</t>
  </si>
  <si>
    <t>Elisa Neves</t>
  </si>
  <si>
    <t>Fabiano Gomes</t>
  </si>
  <si>
    <t>Gisele Oliveira</t>
  </si>
  <si>
    <t>Héctor Silva</t>
  </si>
  <si>
    <t>Igor Martins</t>
  </si>
  <si>
    <t>Joana Figueiredo</t>
  </si>
  <si>
    <t>Kleber Machado</t>
  </si>
  <si>
    <t>Luciana Santos</t>
  </si>
  <si>
    <t>Marcos Teixeira</t>
  </si>
  <si>
    <t>Natalia Costa</t>
  </si>
  <si>
    <t>Oscar Ribeiro</t>
  </si>
  <si>
    <t>Patricia Almeida</t>
  </si>
  <si>
    <t>Quirino Junior</t>
  </si>
  <si>
    <t>Renata Machado</t>
  </si>
  <si>
    <t>Sônia Alves</t>
  </si>
  <si>
    <t>Tiago Nunes</t>
  </si>
  <si>
    <t>Ulysses Pereira</t>
  </si>
  <si>
    <t>Vanessa Lima</t>
  </si>
  <si>
    <t>Wagner Santos</t>
  </si>
  <si>
    <t>Yasmin Silva</t>
  </si>
  <si>
    <t>Zacarias de Souza</t>
  </si>
  <si>
    <t>André Lima</t>
  </si>
  <si>
    <t>Bianca Freitas</t>
  </si>
  <si>
    <t>Caio Mendes</t>
  </si>
  <si>
    <t>Eduardo Costa</t>
  </si>
  <si>
    <t>Fernanda Gomes</t>
  </si>
  <si>
    <t>Guilherme Souza</t>
  </si>
  <si>
    <t>Helena Ribeiro</t>
  </si>
  <si>
    <t>Igor Santos</t>
  </si>
  <si>
    <t>João Carvalho</t>
  </si>
  <si>
    <t>Klara Fagundes</t>
  </si>
  <si>
    <t>Lúcia Mendonça</t>
  </si>
  <si>
    <t>Marcelo Novaes</t>
  </si>
  <si>
    <t>Nina Pacheco</t>
  </si>
  <si>
    <t>Olívia Rios</t>
  </si>
  <si>
    <t>Paulo Quintana</t>
  </si>
  <si>
    <t>Raquel Domingos</t>
  </si>
  <si>
    <t>Samuel Viana</t>
  </si>
  <si>
    <t>Tatiane Rocha</t>
  </si>
  <si>
    <t>Ulysses Farias</t>
  </si>
  <si>
    <t>Vanessa Moreira</t>
  </si>
  <si>
    <t>William Carvalho</t>
  </si>
  <si>
    <t>Ximena Barros</t>
  </si>
  <si>
    <t>Yara Machado</t>
  </si>
  <si>
    <t>Zacarias Costa</t>
  </si>
  <si>
    <t>André Lopes</t>
  </si>
  <si>
    <t>Beatriz Souza</t>
  </si>
  <si>
    <t>Daniela Araújo</t>
  </si>
  <si>
    <t>Eduardo Santos</t>
  </si>
  <si>
    <t>Gabriel Teixeira</t>
  </si>
  <si>
    <t>Igor Mendes</t>
  </si>
  <si>
    <t>Joana Silveira</t>
  </si>
  <si>
    <t>Lucas Martins</t>
  </si>
  <si>
    <t>Marcela Gouveia</t>
  </si>
  <si>
    <t>Nicolas Borges</t>
  </si>
  <si>
    <t>Olivia Freitas</t>
  </si>
  <si>
    <t>Paulo Nogueira</t>
  </si>
  <si>
    <t>Raquel Andrade</t>
  </si>
  <si>
    <t>Sônia Carvalho</t>
  </si>
  <si>
    <t>Tiago Rodrigues</t>
  </si>
  <si>
    <t>Ursula Monteiro</t>
  </si>
  <si>
    <t>Vanessa Pereira</t>
  </si>
  <si>
    <t>Walter Silva</t>
  </si>
  <si>
    <t>Xavier Almeida</t>
  </si>
  <si>
    <t>Yasmine Correia</t>
  </si>
  <si>
    <t>Zacarias Almeida</t>
  </si>
  <si>
    <t>Amanda Costa</t>
  </si>
  <si>
    <t>Bruno Ferreira</t>
  </si>
  <si>
    <t>Diogo Martins</t>
  </si>
  <si>
    <t>Elisa Campos</t>
  </si>
  <si>
    <t>Fabiana Lima</t>
  </si>
  <si>
    <t>Gabriel Santos</t>
  </si>
  <si>
    <t>Helena Ferreira</t>
  </si>
  <si>
    <t>Ígor Nunes</t>
  </si>
  <si>
    <t>Luciana Morais</t>
  </si>
  <si>
    <t>Marcos Vinícius</t>
  </si>
  <si>
    <t>Natália Barros</t>
  </si>
  <si>
    <t>Oscar Sampaio</t>
  </si>
  <si>
    <t>Patrícia Leite</t>
  </si>
  <si>
    <t>Quênia Rocha</t>
  </si>
  <si>
    <t>Sandra Gouveia</t>
  </si>
  <si>
    <t>Tiago Lacerda</t>
  </si>
  <si>
    <t>Ursula Fonseca</t>
  </si>
  <si>
    <t>Vanessa Andrade</t>
  </si>
  <si>
    <t>William Castro</t>
  </si>
  <si>
    <t>Xavier Monteiro</t>
  </si>
  <si>
    <t>Yasmin Figueira</t>
  </si>
  <si>
    <t>Zacarias Mendonça</t>
  </si>
  <si>
    <t>Amanda Menezes</t>
  </si>
  <si>
    <t>Bruno Santos</t>
  </si>
  <si>
    <t>Carla Ferreira</t>
  </si>
  <si>
    <t>Diogo Alves</t>
  </si>
  <si>
    <t>Fabiano Pires</t>
  </si>
  <si>
    <t>Giovana Ribeiro</t>
  </si>
  <si>
    <t>Hélio Costa</t>
  </si>
  <si>
    <t>Íris Loureiro</t>
  </si>
  <si>
    <t>João Pereira</t>
  </si>
  <si>
    <t>Klara Silva</t>
  </si>
  <si>
    <t>Luciana Barros</t>
  </si>
  <si>
    <t>Marcos Gomes</t>
  </si>
  <si>
    <t>Natália Soares</t>
  </si>
  <si>
    <t>Oscar Machado</t>
  </si>
  <si>
    <t>Patrícia Lima</t>
  </si>
  <si>
    <t>Quirino Neto</t>
  </si>
  <si>
    <t>Rafaela Souza</t>
  </si>
  <si>
    <t>Sandro Almeida</t>
  </si>
  <si>
    <t>Tânia Ribeiro</t>
  </si>
  <si>
    <t>Ugo Dias</t>
  </si>
  <si>
    <t>Valéria Lima</t>
  </si>
  <si>
    <t>William Fernandes</t>
  </si>
  <si>
    <t>Xuxa Mendes</t>
  </si>
  <si>
    <t>Ygor Farias</t>
  </si>
  <si>
    <t>Zilda Barros</t>
  </si>
  <si>
    <t>Amanda Santos</t>
  </si>
  <si>
    <t>Bruno Costa</t>
  </si>
  <si>
    <t>Carla Rodrigues</t>
  </si>
  <si>
    <t>Diogo Pereira</t>
  </si>
  <si>
    <t>Elisa Correia</t>
  </si>
  <si>
    <t>Fábio Lourenço</t>
  </si>
  <si>
    <t>Gabriela Neves</t>
  </si>
  <si>
    <t>Henrique Gonçalves</t>
  </si>
  <si>
    <t>João Marcelo Alves</t>
  </si>
  <si>
    <t>Klara Fonseca</t>
  </si>
  <si>
    <t>Lucas Mendonça</t>
  </si>
  <si>
    <t>Marcela Torres</t>
  </si>
  <si>
    <t>Natália Castro</t>
  </si>
  <si>
    <t>Oscar Martins</t>
  </si>
  <si>
    <t>Patrícia Oliveira</t>
  </si>
  <si>
    <t>Quentin Nogueira</t>
  </si>
  <si>
    <t>Raquel Silva</t>
  </si>
  <si>
    <t>Sandro Gomes</t>
  </si>
  <si>
    <t>Tânia Machado</t>
  </si>
  <si>
    <t>Xavier Reis</t>
  </si>
  <si>
    <t>Yasmin Rocha</t>
  </si>
  <si>
    <t>Zacarias Duarte</t>
  </si>
  <si>
    <t>Amanda Freitas</t>
  </si>
  <si>
    <t>Bruno Almeida</t>
  </si>
  <si>
    <t>Carla Siqueira</t>
  </si>
  <si>
    <t>Diogo Ramos</t>
  </si>
  <si>
    <t>Elisa Magalhães</t>
  </si>
  <si>
    <t>Rótulos de Linha</t>
  </si>
  <si>
    <t>Total Geral</t>
  </si>
  <si>
    <t>Soma de Minecraft Season Pass Price</t>
  </si>
  <si>
    <t>EA Play Season Pass</t>
  </si>
  <si>
    <t>EA Play Season Pass
Price</t>
  </si>
  <si>
    <t>-</t>
  </si>
  <si>
    <t>Subscription Price</t>
  </si>
  <si>
    <t>Soma de EA Play Season Pass</t>
  </si>
  <si>
    <t>É uma pergunta de negócio respondida através de alguma análise de dado específica</t>
  </si>
  <si>
    <r>
      <t xml:space="preserve">Pergunta de Negócio 1 - Qual faturamento </t>
    </r>
    <r>
      <rPr>
        <b/>
        <sz val="11"/>
        <color theme="1"/>
        <rFont val="Aptos Narrow"/>
        <family val="2"/>
        <scheme val="minor"/>
      </rPr>
      <t>Total de vendas</t>
    </r>
    <r>
      <rPr>
        <sz val="11"/>
        <color theme="1"/>
        <rFont val="Aptos Narrow"/>
        <family val="2"/>
        <scheme val="minor"/>
      </rPr>
      <t xml:space="preserve"> de </t>
    </r>
    <r>
      <rPr>
        <b/>
        <sz val="11"/>
        <color theme="1"/>
        <rFont val="Aptos Narrow"/>
        <family val="2"/>
        <scheme val="minor"/>
      </rPr>
      <t>planos anuais</t>
    </r>
    <r>
      <rPr>
        <sz val="11"/>
        <color theme="1"/>
        <rFont val="Aptos Narrow"/>
        <family val="2"/>
        <scheme val="minor"/>
      </rPr>
      <t xml:space="preserve"> (contendo todas as assinaturas agregadas)</t>
    </r>
  </si>
  <si>
    <t>Soma de Total Value</t>
  </si>
  <si>
    <r>
      <t>Pergunta de Negócio 2 - Qual Faturamento</t>
    </r>
    <r>
      <rPr>
        <b/>
        <sz val="11"/>
        <color theme="1"/>
        <rFont val="Aptos Narrow"/>
        <family val="2"/>
        <scheme val="minor"/>
      </rPr>
      <t xml:space="preserve"> Total de vendas</t>
    </r>
    <r>
      <rPr>
        <sz val="11"/>
        <color theme="1"/>
        <rFont val="Aptos Narrow"/>
        <family val="2"/>
        <scheme val="minor"/>
      </rPr>
      <t xml:space="preserve"> de</t>
    </r>
    <r>
      <rPr>
        <b/>
        <sz val="11"/>
        <color theme="1"/>
        <rFont val="Aptos Narrow"/>
        <family val="2"/>
        <scheme val="minor"/>
      </rPr>
      <t xml:space="preserve"> planos anuais</t>
    </r>
    <r>
      <rPr>
        <sz val="11"/>
        <color theme="1"/>
        <rFont val="Aptos Narrow"/>
        <family val="2"/>
        <scheme val="minor"/>
      </rPr>
      <t xml:space="preserve"> , separado por auto renovação não é por auto renovação</t>
    </r>
  </si>
  <si>
    <t>Pergunta Negócio 3 - Total de Vendas de Assinaturas do EA Play</t>
  </si>
  <si>
    <t>Pergunta Negócio 4 - Total de Vendas de Assinaturas do Minecraft Season Pass</t>
  </si>
  <si>
    <t xml:space="preserve"> XBOX GAME PASS SUBSCRIPTIONS SALES</t>
  </si>
  <si>
    <t>Pergunta Negócio 5 - Total de Clintes por Plano</t>
  </si>
  <si>
    <t>Contagem de Name</t>
  </si>
  <si>
    <t>Pergunta Negócio 6 - Porcentagem de Renovações</t>
  </si>
  <si>
    <t>Pergunta Negócio 7 - Qual a Receita total?</t>
  </si>
  <si>
    <t>Pergunta Negócio 8- Qual a receita por plano ao longo do tempo?</t>
  </si>
  <si>
    <t>jan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</si>
  <si>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</si>
  <si>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</si>
  <si>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</si>
  <si>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</si>
  <si>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</si>
  <si>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</si>
  <si>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</si>
  <si>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</si>
  <si>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</si>
  <si>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</si>
  <si>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Rótulos de Coluna</t>
  </si>
  <si>
    <t>fev</t>
  </si>
  <si>
    <t>(Tudo)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</si>
</sst>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-&quot;R$&quot;\ * #,##0.00_-;\-&quot;R$&quot;\ * #,##0.00_-;_-&quot;R$&quot;\ * &quot;-&quot;??_-;_-@_-"/>
  </numFmts>
  <fonts count="7" x14ac:knownFonts="1"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5"/>
      <color theme="3"/>
      <name val="Segoe UI"/>
      <family val="2"/>
    </font>
    <font>
      <b/>
      <sz val="15"/>
      <color rgb="FF22C55E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rgb="FF9BC848"/>
        <bgColor indexed="64"/>
      </patternFill>
    </fill>
    <fill>
      <patternFill patternType="solid">
        <fgColor rgb="FF22C55E"/>
        <bgColor indexed="64"/>
      </patternFill>
    </fill>
    <fill>
      <patternFill patternType="solid">
        <fgColor rgb="FF2AE6B1"/>
        <bgColor indexed="64"/>
      </patternFill>
    </fill>
    <fill>
      <patternFill patternType="solid">
        <fgColor rgb="FF5BF6A8"/>
        <bgColor indexed="64"/>
      </patternFill>
    </fill>
    <fill>
      <patternFill patternType="solid">
        <fgColor rgb="FFE8E6E9"/>
        <bgColor indexed="64"/>
      </patternFill>
    </fill>
    <fill>
      <patternFill patternType="solid">
        <fgColor rgb="FFFFEB9C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rgb="FF22C55E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44" fontId="2" fillId="0" borderId="0" applyFont="0" applyFill="0" applyBorder="0" applyAlignment="0" applyProtection="0"/>
    <xf numFmtId="0" fontId="4" fillId="8" borderId="0" applyNumberFormat="0" applyBorder="0" applyAlignment="0" applyProtection="0"/>
  </cellStyleXfs>
  <cellXfs count="21">
    <xf numFmtId="0" fontId="0" fillId="0" borderId="0" xfId="0"/>
    <xf numFmtId="0" fontId="1" fillId="0" borderId="1" xfId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44" fontId="0" fillId="0" borderId="0" xfId="2" applyFont="1" applyAlignment="1">
      <alignment horizontal="center" vertical="center" wrapText="1"/>
    </xf>
    <xf numFmtId="0" fontId="0" fillId="0" borderId="0" xfId="0" pivotButton="1"/>
    <xf numFmtId="44" fontId="0" fillId="0" borderId="0" xfId="0" applyNumberFormat="1"/>
    <xf numFmtId="0" fontId="0" fillId="0" borderId="0" xfId="0" applyAlignment="1">
      <alignment horizontal="left"/>
    </xf>
    <xf numFmtId="0" fontId="5" fillId="0" borderId="2" xfId="1" applyFont="1" applyBorder="1"/>
    <xf numFmtId="44" fontId="0" fillId="0" borderId="0" xfId="2" applyFont="1"/>
    <xf numFmtId="0" fontId="0" fillId="0" borderId="2" xfId="0" applyBorder="1"/>
    <xf numFmtId="0" fontId="6" fillId="0" borderId="2" xfId="1" applyFont="1" applyBorder="1" applyAlignment="1">
      <alignment horizontal="left" indent="7"/>
    </xf>
    <xf numFmtId="0" fontId="4" fillId="8" borderId="0" xfId="3" applyAlignment="1">
      <alignment horizontal="center"/>
    </xf>
    <xf numFmtId="0" fontId="0" fillId="0" borderId="0" xfId="0" applyNumberFormat="1"/>
  </cellXfs>
  <cellStyles count="4">
    <cellStyle name="Moeda" xfId="2" builtinId="4"/>
    <cellStyle name="Neutro" xfId="3" builtinId="28"/>
    <cellStyle name="Normal" xfId="0" builtinId="0"/>
    <cellStyle name="Título 1" xfId="1" builtinId="16"/>
  </cellStyles>
  <dxfs count="16"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color theme="0"/>
      </font>
      <border>
        <bottom style="thin">
          <color theme="9"/>
        </bottom>
        <vertical/>
        <horizontal/>
      </border>
    </dxf>
    <dxf>
      <font>
        <color theme="1"/>
      </font>
      <fill>
        <patternFill>
          <bgColor rgb="FF22C55E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SlicerStyleLight6 2" pivot="0" table="0" count="10" xr9:uid="{7812454B-9EBD-4F72-9068-FA94BE9FF08F}">
      <tableStyleElement type="wholeTable" dxfId="15"/>
      <tableStyleElement type="headerRow" dxfId="14"/>
    </tableStyle>
  </tableStyles>
  <colors>
    <mruColors>
      <color rgb="FF2AE6B1"/>
      <color rgb="FF22C55E"/>
      <color rgb="FF5BF6A8"/>
      <color rgb="FFE8E6E9"/>
      <color rgb="FF000000"/>
      <color rgb="FFE0E0E0"/>
      <color rgb="FFEDEDED"/>
      <color rgb="FFF7F8FC"/>
      <color rgb="FF9BC848"/>
      <color rgb="FFE70011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9" tint="0.79998168889431442"/>
              <bgColor theme="9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9" tint="0.59999389629810485"/>
              <bgColor theme="9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6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[Dashboard.xlsm]C̳álculos!Tabela dinâmica1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260286445675772"/>
              <c:y val="-0.14351851851851855"/>
            </c:manualLayout>
          </c:layout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3415637860082305"/>
              <c:y val="-0.13425925925925927"/>
            </c:manualLayout>
          </c:layout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6100839246945984"/>
              <c:y val="7.8703703703703706E-2"/>
            </c:manualLayout>
          </c:layout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260286445675772"/>
              <c:y val="-0.14351851851851855"/>
            </c:manualLayout>
          </c:layout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6100839246945984"/>
              <c:y val="7.8703703703703706E-2"/>
            </c:manualLayout>
          </c:layout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3415637860082305"/>
              <c:y val="-0.13425925925925927"/>
            </c:manualLayout>
          </c:layout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2AE6B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AE6B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2AE6B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2AE6B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C̳álculos!$C$43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2AE6B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E6B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8C1-4228-A268-BE998157F438}"/>
              </c:ext>
            </c:extLst>
          </c:dPt>
          <c:dPt>
            <c:idx val="1"/>
            <c:invertIfNegative val="0"/>
            <c:bubble3D val="0"/>
            <c:spPr>
              <a:solidFill>
                <a:srgbClr val="2AE6B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8C1-4228-A268-BE998157F438}"/>
              </c:ext>
            </c:extLst>
          </c:dPt>
          <c:dPt>
            <c:idx val="2"/>
            <c:invertIfNegative val="0"/>
            <c:bubble3D val="0"/>
            <c:spPr>
              <a:solidFill>
                <a:srgbClr val="2AE6B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8C1-4228-A268-BE998157F438}"/>
              </c:ext>
            </c:extLst>
          </c:dPt>
          <c:dLbls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C̳álculos!$B$44:$B$47</c:f>
              <c:strCache>
                <c:ptCount val="3"/>
                <c:pt idx="0">
                  <c:v>Core</c:v>
                </c:pt>
                <c:pt idx="1">
                  <c:v>Standard</c:v>
                </c:pt>
                <c:pt idx="2">
                  <c:v>Ultimate</c:v>
                </c:pt>
              </c:strCache>
            </c:strRef>
          </c:cat>
          <c:val>
            <c:numRef>
              <c:f>C̳álculos!$C$44:$C$47</c:f>
              <c:numCache>
                <c:formatCode>General</c:formatCode>
                <c:ptCount val="3"/>
                <c:pt idx="0">
                  <c:v>101</c:v>
                </c:pt>
                <c:pt idx="1">
                  <c:v>96</c:v>
                </c:pt>
                <c:pt idx="2">
                  <c:v>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8C1-4228-A268-BE998157F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783051776"/>
        <c:axId val="783052256"/>
      </c:barChart>
      <c:catAx>
        <c:axId val="783051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3052256"/>
        <c:crosses val="autoZero"/>
        <c:auto val="1"/>
        <c:lblAlgn val="ctr"/>
        <c:lblOffset val="100"/>
        <c:noMultiLvlLbl val="0"/>
      </c:catAx>
      <c:valAx>
        <c:axId val="78305225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783051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[Dashboard.xlsm]C̳álculos!Tabela dinâmica2</c:name>
    <c:fmtId val="19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.00%" sourceLinked="0"/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7.6452599388379117E-2"/>
              <c:y val="0"/>
            </c:manualLayout>
          </c:layout>
          <c:numFmt formatCode="0.00%" sourceLinked="0"/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1743119266055051E-2"/>
              <c:y val="0"/>
            </c:manualLayout>
          </c:layout>
          <c:numFmt formatCode="0.00%" sourceLinked="0"/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480274828031818"/>
          <c:y val="7.0004031875533626E-2"/>
          <c:w val="0.78607278447992146"/>
          <c:h val="0.77423433893052507"/>
        </c:manualLayout>
      </c:layout>
      <c:doughnutChart>
        <c:varyColors val="1"/>
        <c:ser>
          <c:idx val="0"/>
          <c:order val="0"/>
          <c:tx>
            <c:strRef>
              <c:f>C̳álculos!$C$51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1A9-44E8-B9A2-584A1AAB17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1A9-44E8-B9A2-584A1AAB1734}"/>
              </c:ext>
            </c:extLst>
          </c:dPt>
          <c:dLbls>
            <c:dLbl>
              <c:idx val="0"/>
              <c:layout>
                <c:manualLayout>
                  <c:x val="7.6452599388379117E-2"/>
                  <c:y val="0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1A9-44E8-B9A2-584A1AAB1734}"/>
                </c:ext>
              </c:extLst>
            </c:dLbl>
            <c:dLbl>
              <c:idx val="1"/>
              <c:layout>
                <c:manualLayout>
                  <c:x val="-9.1743119266055051E-2"/>
                  <c:y val="0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1A9-44E8-B9A2-584A1AAB1734}"/>
                </c:ext>
              </c:extLst>
            </c:dLbl>
            <c:numFmt formatCode="0.00%" sourceLinked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C̳álculos!$B$52:$B$54</c:f>
              <c:strCache>
                <c:ptCount val="2"/>
                <c:pt idx="0">
                  <c:v>No</c:v>
                </c:pt>
                <c:pt idx="1">
                  <c:v>Yes</c:v>
                </c:pt>
              </c:strCache>
            </c:strRef>
          </c:cat>
          <c:val>
            <c:numRef>
              <c:f>C̳álculos!$C$52:$C$54</c:f>
              <c:numCache>
                <c:formatCode>General</c:formatCode>
                <c:ptCount val="2"/>
                <c:pt idx="0">
                  <c:v>147</c:v>
                </c:pt>
                <c:pt idx="1">
                  <c:v>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A9-44E8-B9A2-584A1AAB17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[Dashboard.xlsm]C̳álculos!Tabela dinâmica4</c:name>
    <c:fmtId val="32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C̳álculos!$C$63:$C$64</c:f>
              <c:strCache>
                <c:ptCount val="1"/>
                <c:pt idx="0">
                  <c:v>Core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C̳álculos!$B$65:$B$77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C̳álculos!$C$65:$C$77</c:f>
              <c:numCache>
                <c:formatCode>_("R$"* #,##0.00_);_("R$"* \(#,##0.00\);_("R$"* "-"??_);_(@_)</c:formatCode>
                <c:ptCount val="12"/>
                <c:pt idx="0">
                  <c:v>5</c:v>
                </c:pt>
                <c:pt idx="2">
                  <c:v>48</c:v>
                </c:pt>
                <c:pt idx="3">
                  <c:v>44</c:v>
                </c:pt>
                <c:pt idx="4">
                  <c:v>49</c:v>
                </c:pt>
                <c:pt idx="5">
                  <c:v>43</c:v>
                </c:pt>
                <c:pt idx="6">
                  <c:v>48</c:v>
                </c:pt>
                <c:pt idx="7">
                  <c:v>49</c:v>
                </c:pt>
                <c:pt idx="8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26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143-4915-882F-33945F6302DB}"/>
            </c:ext>
          </c:extLst>
        </c:ser>
        <c:ser>
          <c:idx val="1"/>
          <c:order val="1"/>
          <c:tx>
            <c:strRef>
              <c:f>C̳álculos!$D$63:$D$64</c:f>
              <c:strCache>
                <c:ptCount val="1"/>
                <c:pt idx="0">
                  <c:v>Standard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C̳álculos!$B$65:$B$77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C̳álculos!$D$65:$D$77</c:f>
              <c:numCache>
                <c:formatCode>_("R$"* #,##0.00_);_("R$"* \(#,##0.00\);_("R$"* "-"??_);_(@_)</c:formatCode>
                <c:ptCount val="12"/>
                <c:pt idx="1">
                  <c:v>20</c:v>
                </c:pt>
                <c:pt idx="2">
                  <c:v>191</c:v>
                </c:pt>
                <c:pt idx="3">
                  <c:v>193</c:v>
                </c:pt>
                <c:pt idx="4">
                  <c:v>183</c:v>
                </c:pt>
                <c:pt idx="5">
                  <c:v>196</c:v>
                </c:pt>
                <c:pt idx="6">
                  <c:v>188</c:v>
                </c:pt>
                <c:pt idx="7">
                  <c:v>188</c:v>
                </c:pt>
                <c:pt idx="8">
                  <c:v>188</c:v>
                </c:pt>
                <c:pt idx="9">
                  <c:v>178</c:v>
                </c:pt>
                <c:pt idx="10">
                  <c:v>188</c:v>
                </c:pt>
                <c:pt idx="11">
                  <c:v>88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143-4915-882F-33945F6302DB}"/>
            </c:ext>
          </c:extLst>
        </c:ser>
        <c:ser>
          <c:idx val="2"/>
          <c:order val="2"/>
          <c:tx>
            <c:strRef>
              <c:f>C̳álculos!$E$63:$E$64</c:f>
              <c:strCache>
                <c:ptCount val="1"/>
                <c:pt idx="0">
                  <c:v>Ultimate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C̳álculos!$B$65:$B$77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C̳álculos!$E$65:$E$77</c:f>
              <c:numCache>
                <c:formatCode>_("R$"* #,##0.00_);_("R$"* \(#,##0.00\);_("R$"* "-"??_);_(@_)</c:formatCode>
                <c:ptCount val="12"/>
                <c:pt idx="0">
                  <c:v>60</c:v>
                </c:pt>
                <c:pt idx="1">
                  <c:v>62</c:v>
                </c:pt>
                <c:pt idx="2">
                  <c:v>562</c:v>
                </c:pt>
                <c:pt idx="3">
                  <c:v>545</c:v>
                </c:pt>
                <c:pt idx="4">
                  <c:v>545</c:v>
                </c:pt>
                <c:pt idx="5">
                  <c:v>531</c:v>
                </c:pt>
                <c:pt idx="6">
                  <c:v>548</c:v>
                </c:pt>
                <c:pt idx="7">
                  <c:v>550</c:v>
                </c:pt>
                <c:pt idx="8">
                  <c:v>548</c:v>
                </c:pt>
                <c:pt idx="9">
                  <c:v>610</c:v>
                </c:pt>
                <c:pt idx="10">
                  <c:v>552</c:v>
                </c:pt>
                <c:pt idx="11">
                  <c:v>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143-4915-882F-33945F630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6901439"/>
        <c:axId val="1096906239"/>
      </c:lineChart>
      <c:catAx>
        <c:axId val="10969014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96906239"/>
        <c:crosses val="autoZero"/>
        <c:auto val="1"/>
        <c:lblAlgn val="ctr"/>
        <c:lblOffset val="100"/>
        <c:noMultiLvlLbl val="0"/>
      </c:catAx>
      <c:valAx>
        <c:axId val="1096906239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10969014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8.png"/><Relationship Id="rId7" Type="http://schemas.openxmlformats.org/officeDocument/2006/relationships/chart" Target="../charts/chart1.xml"/><Relationship Id="rId2" Type="http://schemas.openxmlformats.org/officeDocument/2006/relationships/image" Target="../media/image7.png"/><Relationship Id="rId1" Type="http://schemas.openxmlformats.org/officeDocument/2006/relationships/image" Target="../media/image2.png"/><Relationship Id="rId6" Type="http://schemas.openxmlformats.org/officeDocument/2006/relationships/image" Target="../media/image5.png"/><Relationship Id="rId5" Type="http://schemas.openxmlformats.org/officeDocument/2006/relationships/image" Target="../media/image10.svg"/><Relationship Id="rId10" Type="http://schemas.openxmlformats.org/officeDocument/2006/relationships/chart" Target="../charts/chart3.xml"/><Relationship Id="rId4" Type="http://schemas.openxmlformats.org/officeDocument/2006/relationships/image" Target="../media/image9.png"/><Relationship Id="rId9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5</xdr:row>
      <xdr:rowOff>0</xdr:rowOff>
    </xdr:from>
    <xdr:to>
      <xdr:col>11</xdr:col>
      <xdr:colOff>304800</xdr:colOff>
      <xdr:row>6</xdr:row>
      <xdr:rowOff>114300</xdr:rowOff>
    </xdr:to>
    <xdr:sp macro="" textlink="">
      <xdr:nvSpPr>
        <xdr:cNvPr id="1025" name="AutoShape 1" descr="Nintendo Switch Online bate marca de 36 milhões de assinantes - Nintendo  Blast">
          <a:extLst>
            <a:ext uri="{FF2B5EF4-FFF2-40B4-BE49-F238E27FC236}">
              <a16:creationId xmlns:a16="http://schemas.microsoft.com/office/drawing/2014/main" id="{69FD878D-E328-D05D-B6C2-A8A829C9E8A9}"/>
            </a:ext>
          </a:extLst>
        </xdr:cNvPr>
        <xdr:cNvSpPr>
          <a:spLocks noChangeAspect="1" noChangeArrowheads="1"/>
        </xdr:cNvSpPr>
      </xdr:nvSpPr>
      <xdr:spPr bwMode="auto">
        <a:xfrm>
          <a:off x="6705600" y="10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5</xdr:row>
      <xdr:rowOff>0</xdr:rowOff>
    </xdr:from>
    <xdr:to>
      <xdr:col>13</xdr:col>
      <xdr:colOff>304800</xdr:colOff>
      <xdr:row>6</xdr:row>
      <xdr:rowOff>114300</xdr:rowOff>
    </xdr:to>
    <xdr:sp macro="" textlink="">
      <xdr:nvSpPr>
        <xdr:cNvPr id="1026" name="AutoShape 2" descr="Nintendo Switch Online bate marca de 36 milhões de assinantes - Nintendo  Blast">
          <a:extLst>
            <a:ext uri="{FF2B5EF4-FFF2-40B4-BE49-F238E27FC236}">
              <a16:creationId xmlns:a16="http://schemas.microsoft.com/office/drawing/2014/main" id="{151E63B9-A35B-41FF-3166-5E7F3045C291}"/>
            </a:ext>
          </a:extLst>
        </xdr:cNvPr>
        <xdr:cNvSpPr>
          <a:spLocks noChangeAspect="1" noChangeArrowheads="1"/>
        </xdr:cNvSpPr>
      </xdr:nvSpPr>
      <xdr:spPr bwMode="auto">
        <a:xfrm>
          <a:off x="7924800" y="10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219074</xdr:colOff>
      <xdr:row>12</xdr:row>
      <xdr:rowOff>138302</xdr:rowOff>
    </xdr:from>
    <xdr:to>
      <xdr:col>3</xdr:col>
      <xdr:colOff>500471</xdr:colOff>
      <xdr:row>15</xdr:row>
      <xdr:rowOff>19050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3CBC93AC-1D1F-EA16-F025-2F127EBC6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4" y="2567177"/>
          <a:ext cx="1500597" cy="461773"/>
        </a:xfrm>
        <a:prstGeom prst="rect">
          <a:avLst/>
        </a:prstGeom>
      </xdr:spPr>
    </xdr:pic>
    <xdr:clientData/>
  </xdr:twoCellAnchor>
  <xdr:twoCellAnchor editAs="oneCell">
    <xdr:from>
      <xdr:col>0</xdr:col>
      <xdr:colOff>561975</xdr:colOff>
      <xdr:row>15</xdr:row>
      <xdr:rowOff>47625</xdr:rowOff>
    </xdr:from>
    <xdr:to>
      <xdr:col>5</xdr:col>
      <xdr:colOff>400050</xdr:colOff>
      <xdr:row>20</xdr:row>
      <xdr:rowOff>117348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7A6E36A2-663A-A57A-27C3-3BDD1AF9B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5" y="3057525"/>
          <a:ext cx="2886075" cy="1022223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581025</xdr:colOff>
      <xdr:row>13</xdr:row>
      <xdr:rowOff>19050</xdr:rowOff>
    </xdr:from>
    <xdr:to>
      <xdr:col>12</xdr:col>
      <xdr:colOff>209550</xdr:colOff>
      <xdr:row>14</xdr:row>
      <xdr:rowOff>66675</xdr:rowOff>
    </xdr:to>
    <xdr:pic>
      <xdr:nvPicPr>
        <xdr:cNvPr id="7" name="Gráfico 6" descr="Lupa com preenchimento sólido">
          <a:extLst>
            <a:ext uri="{FF2B5EF4-FFF2-40B4-BE49-F238E27FC236}">
              <a16:creationId xmlns:a16="http://schemas.microsoft.com/office/drawing/2014/main" id="{1FB82216-1AF2-AA27-982B-5432B027C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15150" y="2647950"/>
          <a:ext cx="238125" cy="23812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</xdr:row>
      <xdr:rowOff>133350</xdr:rowOff>
    </xdr:from>
    <xdr:to>
      <xdr:col>10</xdr:col>
      <xdr:colOff>161925</xdr:colOff>
      <xdr:row>16</xdr:row>
      <xdr:rowOff>57150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77505866-F9E1-4D72-A197-04B674005FDF}"/>
            </a:ext>
          </a:extLst>
        </xdr:cNvPr>
        <xdr:cNvSpPr/>
      </xdr:nvSpPr>
      <xdr:spPr>
        <a:xfrm>
          <a:off x="5191125" y="2562225"/>
          <a:ext cx="695325" cy="695325"/>
        </a:xfrm>
        <a:prstGeom prst="ellipse">
          <a:avLst/>
        </a:prstGeom>
        <a:blipFill>
          <a:blip xmlns:r="http://schemas.openxmlformats.org/officeDocument/2006/relationships" r:embed="rId5"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10</xdr:col>
      <xdr:colOff>285750</xdr:colOff>
      <xdr:row>12</xdr:row>
      <xdr:rowOff>142875</xdr:rowOff>
    </xdr:from>
    <xdr:to>
      <xdr:col>11</xdr:col>
      <xdr:colOff>371475</xdr:colOff>
      <xdr:row>16</xdr:row>
      <xdr:rowOff>66675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EAED0B10-9B9B-4C87-AA2F-D30DEB957E50}"/>
            </a:ext>
          </a:extLst>
        </xdr:cNvPr>
        <xdr:cNvSpPr/>
      </xdr:nvSpPr>
      <xdr:spPr>
        <a:xfrm>
          <a:off x="6010275" y="2571750"/>
          <a:ext cx="695325" cy="695325"/>
        </a:xfrm>
        <a:prstGeom prst="ellipse">
          <a:avLst/>
        </a:prstGeom>
        <a:blipFill>
          <a:blip xmlns:r="http://schemas.openxmlformats.org/officeDocument/2006/relationships" r:embed="rId6"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 editAs="oneCell">
    <xdr:from>
      <xdr:col>1</xdr:col>
      <xdr:colOff>57150</xdr:colOff>
      <xdr:row>21</xdr:row>
      <xdr:rowOff>180975</xdr:rowOff>
    </xdr:from>
    <xdr:to>
      <xdr:col>3</xdr:col>
      <xdr:colOff>57150</xdr:colOff>
      <xdr:row>28</xdr:row>
      <xdr:rowOff>66675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34E653DD-5BBB-B7D9-BDBD-2F5939345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4333875"/>
          <a:ext cx="1219200" cy="1219200"/>
        </a:xfrm>
        <a:prstGeom prst="rect">
          <a:avLst/>
        </a:prstGeom>
      </xdr:spPr>
    </xdr:pic>
    <xdr:clientData/>
  </xdr:twoCellAnchor>
  <xdr:twoCellAnchor editAs="absolute">
    <xdr:from>
      <xdr:col>1</xdr:col>
      <xdr:colOff>447675</xdr:colOff>
      <xdr:row>27</xdr:row>
      <xdr:rowOff>114299</xdr:rowOff>
    </xdr:from>
    <xdr:to>
      <xdr:col>4</xdr:col>
      <xdr:colOff>168351</xdr:colOff>
      <xdr:row>31</xdr:row>
      <xdr:rowOff>104775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A71E6AF1-ADEE-EB3B-0380-7B4EF5640C97}"/>
            </a:ext>
          </a:extLst>
        </xdr:cNvPr>
        <xdr:cNvGrpSpPr/>
      </xdr:nvGrpSpPr>
      <xdr:grpSpPr>
        <a:xfrm>
          <a:off x="1057275" y="5219699"/>
          <a:ext cx="1549476" cy="721996"/>
          <a:chOff x="3495675" y="5400674"/>
          <a:chExt cx="1549476" cy="75247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B0CF571B-D3D1-7AD8-F100-6A3A279BE5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98608" y="5400674"/>
            <a:ext cx="555497" cy="609599"/>
          </a:xfrm>
          <a:prstGeom prst="rect">
            <a:avLst/>
          </a:prstGeom>
        </xdr:spPr>
      </xdr:pic>
      <xdr:pic>
        <xdr:nvPicPr>
          <xdr:cNvPr id="14" name="Gráfico 13">
            <a:extLst>
              <a:ext uri="{FF2B5EF4-FFF2-40B4-BE49-F238E27FC236}">
                <a16:creationId xmlns:a16="http://schemas.microsoft.com/office/drawing/2014/main" id="{A1F40A76-E1BB-A23E-B668-9F79247AB0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3495675" y="5895937"/>
            <a:ext cx="1549476" cy="257213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12</xdr:col>
      <xdr:colOff>304800</xdr:colOff>
      <xdr:row>6</xdr:row>
      <xdr:rowOff>95250</xdr:rowOff>
    </xdr:to>
    <xdr:sp macro="" textlink="">
      <xdr:nvSpPr>
        <xdr:cNvPr id="3073" name="AutoShape 1" descr="Nintendo Switch Online bate marca de 36 milhões de assinantes - Nintendo  Blast">
          <a:extLst>
            <a:ext uri="{FF2B5EF4-FFF2-40B4-BE49-F238E27FC236}">
              <a16:creationId xmlns:a16="http://schemas.microsoft.com/office/drawing/2014/main" id="{9F790410-62EE-A0DE-ADDB-856AB9D2DA1D}"/>
            </a:ext>
          </a:extLst>
        </xdr:cNvPr>
        <xdr:cNvSpPr>
          <a:spLocks noChangeAspect="1" noChangeArrowheads="1"/>
        </xdr:cNvSpPr>
      </xdr:nvSpPr>
      <xdr:spPr bwMode="auto">
        <a:xfrm>
          <a:off x="6705600" y="10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5</xdr:row>
      <xdr:rowOff>0</xdr:rowOff>
    </xdr:from>
    <xdr:to>
      <xdr:col>14</xdr:col>
      <xdr:colOff>304800</xdr:colOff>
      <xdr:row>6</xdr:row>
      <xdr:rowOff>95250</xdr:rowOff>
    </xdr:to>
    <xdr:sp macro="" textlink="">
      <xdr:nvSpPr>
        <xdr:cNvPr id="3074" name="AutoShape 2" descr="Nintendo Switch Online bate marca de 36 milhões de assinantes - Nintendo  Blast">
          <a:extLst>
            <a:ext uri="{FF2B5EF4-FFF2-40B4-BE49-F238E27FC236}">
              <a16:creationId xmlns:a16="http://schemas.microsoft.com/office/drawing/2014/main" id="{AAEE4303-473C-5F42-9894-C128ED84194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10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5</xdr:row>
      <xdr:rowOff>0</xdr:rowOff>
    </xdr:from>
    <xdr:to>
      <xdr:col>11</xdr:col>
      <xdr:colOff>304800</xdr:colOff>
      <xdr:row>6</xdr:row>
      <xdr:rowOff>114300</xdr:rowOff>
    </xdr:to>
    <xdr:sp macro="" textlink="">
      <xdr:nvSpPr>
        <xdr:cNvPr id="2049" name="AutoShape 1" descr="Nintendo Switch Online bate marca de 36 milhões de assinantes - Nintendo  Blast">
          <a:extLst>
            <a:ext uri="{FF2B5EF4-FFF2-40B4-BE49-F238E27FC236}">
              <a16:creationId xmlns:a16="http://schemas.microsoft.com/office/drawing/2014/main" id="{1320A0EF-7F2C-B85E-7444-AE5BA297A698}"/>
            </a:ext>
          </a:extLst>
        </xdr:cNvPr>
        <xdr:cNvSpPr>
          <a:spLocks noChangeAspect="1" noChangeArrowheads="1"/>
        </xdr:cNvSpPr>
      </xdr:nvSpPr>
      <xdr:spPr bwMode="auto">
        <a:xfrm>
          <a:off x="6705600" y="10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5</xdr:row>
      <xdr:rowOff>0</xdr:rowOff>
    </xdr:from>
    <xdr:to>
      <xdr:col>13</xdr:col>
      <xdr:colOff>304800</xdr:colOff>
      <xdr:row>6</xdr:row>
      <xdr:rowOff>114300</xdr:rowOff>
    </xdr:to>
    <xdr:sp macro="" textlink="">
      <xdr:nvSpPr>
        <xdr:cNvPr id="2050" name="AutoShape 2" descr="Nintendo Switch Online bate marca de 36 milhões de assinantes - Nintendo  Blast">
          <a:extLst>
            <a:ext uri="{FF2B5EF4-FFF2-40B4-BE49-F238E27FC236}">
              <a16:creationId xmlns:a16="http://schemas.microsoft.com/office/drawing/2014/main" id="{C004F30A-D860-6505-73AE-D8D70F3D8E4B}"/>
            </a:ext>
          </a:extLst>
        </xdr:cNvPr>
        <xdr:cNvSpPr>
          <a:spLocks noChangeAspect="1" noChangeArrowheads="1"/>
        </xdr:cNvSpPr>
      </xdr:nvSpPr>
      <xdr:spPr bwMode="auto">
        <a:xfrm>
          <a:off x="7924800" y="10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80841</xdr:colOff>
      <xdr:row>0</xdr:row>
      <xdr:rowOff>27214</xdr:rowOff>
    </xdr:from>
    <xdr:to>
      <xdr:col>2</xdr:col>
      <xdr:colOff>517871</xdr:colOff>
      <xdr:row>3</xdr:row>
      <xdr:rowOff>30546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D630EA10-DDFB-4174-AD6F-CBB669F75E3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426" t="16306" r="72773" b="18469"/>
        <a:stretch/>
      </xdr:blipFill>
      <xdr:spPr>
        <a:xfrm>
          <a:off x="1904198" y="27214"/>
          <a:ext cx="681959" cy="79254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58851</xdr:rowOff>
    </xdr:from>
    <xdr:to>
      <xdr:col>0</xdr:col>
      <xdr:colOff>1782536</xdr:colOff>
      <xdr:row>15</xdr:row>
      <xdr:rowOff>45720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7" name="Subscription Type">
              <a:extLst>
                <a:ext uri="{FF2B5EF4-FFF2-40B4-BE49-F238E27FC236}">
                  <a16:creationId xmlns:a16="http://schemas.microsoft.com/office/drawing/2014/main" id="{F85F9B95-DC6C-4715-AA04-6997CB6877D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scription Typ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415211"/>
              <a:ext cx="1782536" cy="12594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2</xdr:col>
      <xdr:colOff>23812</xdr:colOff>
      <xdr:row>6</xdr:row>
      <xdr:rowOff>61912</xdr:rowOff>
    </xdr:from>
    <xdr:to>
      <xdr:col>8</xdr:col>
      <xdr:colOff>213359</xdr:colOff>
      <xdr:row>13</xdr:row>
      <xdr:rowOff>69363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90D24A66-CFE5-3E9B-F315-6875024FC8E5}"/>
            </a:ext>
          </a:extLst>
        </xdr:cNvPr>
        <xdr:cNvGrpSpPr/>
      </xdr:nvGrpSpPr>
      <xdr:grpSpPr>
        <a:xfrm>
          <a:off x="2149792" y="1159192"/>
          <a:ext cx="3847147" cy="1173311"/>
          <a:chOff x="2149792" y="1159192"/>
          <a:chExt cx="4672009" cy="1576489"/>
        </a:xfrm>
      </xdr:grpSpPr>
      <xdr:sp macro="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D7A77263-7404-111B-A806-E2CCC10DEAB3}"/>
              </a:ext>
            </a:extLst>
          </xdr:cNvPr>
          <xdr:cNvSpPr/>
        </xdr:nvSpPr>
        <xdr:spPr>
          <a:xfrm>
            <a:off x="2149792" y="1216848"/>
            <a:ext cx="4664787" cy="1518833"/>
          </a:xfrm>
          <a:prstGeom prst="roundRect">
            <a:avLst>
              <a:gd name="adj" fmla="val 4069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kern="1200"/>
          </a:p>
        </xdr:txBody>
      </xdr:sp>
      <xdr:sp macro="" textlink="C̳álculos!E25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61552D02-77C9-4CE7-8E23-3B04A00EEA4C}"/>
              </a:ext>
            </a:extLst>
          </xdr:cNvPr>
          <xdr:cNvSpPr/>
        </xdr:nvSpPr>
        <xdr:spPr>
          <a:xfrm>
            <a:off x="3657004" y="1957203"/>
            <a:ext cx="3127783" cy="577922"/>
          </a:xfrm>
          <a:prstGeom prst="roundRect">
            <a:avLst>
              <a:gd name="adj" fmla="val 4069"/>
            </a:avLst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013F77A-435A-4ABA-88A6-D9C44614F925}" type="TxLink">
              <a:rPr lang="en-US" sz="3600" b="1" i="0" u="none" strike="noStrike" kern="1200">
                <a:solidFill>
                  <a:srgbClr val="22C55E"/>
                </a:solidFill>
                <a:latin typeface="Aptos Narrow"/>
              </a:rPr>
              <a:pPr algn="ctr"/>
              <a:t> R$ 2.940,00 </a:t>
            </a:fld>
            <a:endParaRPr lang="pt-BR" sz="3600" b="1" kern="1200">
              <a:solidFill>
                <a:srgbClr val="22C55E"/>
              </a:solidFill>
            </a:endParaRPr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AB7C9170-0AF4-4EE1-A19A-9EDFF2BFE1CF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29296" b="30048"/>
          <a:stretch>
            <a:fillRect/>
          </a:stretch>
        </xdr:blipFill>
        <xdr:spPr>
          <a:xfrm>
            <a:off x="2250702" y="1963026"/>
            <a:ext cx="1443316" cy="566277"/>
          </a:xfrm>
          <a:prstGeom prst="rect">
            <a:avLst/>
          </a:prstGeom>
        </xdr:spPr>
      </xdr:pic>
      <xdr:sp macro="" textlink="">
        <xdr:nvSpPr>
          <xdr:cNvPr id="18" name="Retângulo: Cantos Superiores Arredondados 17">
            <a:extLst>
              <a:ext uri="{FF2B5EF4-FFF2-40B4-BE49-F238E27FC236}">
                <a16:creationId xmlns:a16="http://schemas.microsoft.com/office/drawing/2014/main" id="{DC70A7EE-8E1F-F9B2-5965-FE23BFD36B53}"/>
              </a:ext>
            </a:extLst>
          </xdr:cNvPr>
          <xdr:cNvSpPr/>
        </xdr:nvSpPr>
        <xdr:spPr>
          <a:xfrm>
            <a:off x="2149792" y="1159192"/>
            <a:ext cx="4672009" cy="590120"/>
          </a:xfrm>
          <a:prstGeom prst="round2SameRect">
            <a:avLst/>
          </a:prstGeom>
          <a:solidFill>
            <a:srgbClr val="22C55E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kern="1200">
                <a:latin typeface="Segoe UI" panose="020B0502040204020203" pitchFamily="34" charset="0"/>
                <a:cs typeface="Segoe UI" panose="020B0502040204020203" pitchFamily="34" charset="0"/>
              </a:rPr>
              <a:t>TOTAL SUBSCRIPTIONS EA PLAY SEASON PASS</a:t>
            </a:r>
          </a:p>
        </xdr:txBody>
      </xdr:sp>
    </xdr:grpSp>
    <xdr:clientData/>
  </xdr:twoCellAnchor>
  <xdr:twoCellAnchor>
    <xdr:from>
      <xdr:col>8</xdr:col>
      <xdr:colOff>362426</xdr:colOff>
      <xdr:row>6</xdr:row>
      <xdr:rowOff>61913</xdr:rowOff>
    </xdr:from>
    <xdr:to>
      <xdr:col>15</xdr:col>
      <xdr:colOff>99061</xdr:colOff>
      <xdr:row>13</xdr:row>
      <xdr:rowOff>84018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235029DA-2707-14BB-FDC6-F62172FAA36D}"/>
            </a:ext>
          </a:extLst>
        </xdr:cNvPr>
        <xdr:cNvGrpSpPr/>
      </xdr:nvGrpSpPr>
      <xdr:grpSpPr>
        <a:xfrm>
          <a:off x="6146006" y="1159193"/>
          <a:ext cx="3843815" cy="1187965"/>
          <a:chOff x="7776686" y="1159193"/>
          <a:chExt cx="3843815" cy="1187965"/>
        </a:xfrm>
      </xdr:grpSpPr>
      <xdr:sp macro="" textlink="">
        <xdr:nvSpPr>
          <xdr:cNvPr id="21" name="Retângulo: Cantos Arredondados 20">
            <a:extLst>
              <a:ext uri="{FF2B5EF4-FFF2-40B4-BE49-F238E27FC236}">
                <a16:creationId xmlns:a16="http://schemas.microsoft.com/office/drawing/2014/main" id="{A66F6E5F-021B-034F-BDBE-412F89DE8543}"/>
              </a:ext>
            </a:extLst>
          </xdr:cNvPr>
          <xdr:cNvSpPr/>
        </xdr:nvSpPr>
        <xdr:spPr>
          <a:xfrm>
            <a:off x="7776686" y="1216758"/>
            <a:ext cx="3841200" cy="1130400"/>
          </a:xfrm>
          <a:prstGeom prst="roundRect">
            <a:avLst>
              <a:gd name="adj" fmla="val 4069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kern="1200"/>
          </a:p>
        </xdr:txBody>
      </xdr:sp>
      <xdr:sp macro="" textlink="C̳álculos!E36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338342F4-73EE-962B-63B1-5B4F29A7A23B}"/>
              </a:ext>
            </a:extLst>
          </xdr:cNvPr>
          <xdr:cNvSpPr/>
        </xdr:nvSpPr>
        <xdr:spPr>
          <a:xfrm>
            <a:off x="9083039" y="1690167"/>
            <a:ext cx="2514601" cy="578788"/>
          </a:xfrm>
          <a:prstGeom prst="roundRect">
            <a:avLst>
              <a:gd name="adj" fmla="val 4069"/>
            </a:avLst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52E6073-EB91-45C9-81B2-5596C04756C0}" type="TxLink">
              <a:rPr lang="en-US" sz="3600" b="1" i="0" u="none" strike="noStrike" kern="1200">
                <a:solidFill>
                  <a:srgbClr val="22C55E"/>
                </a:solidFill>
                <a:latin typeface="Aptos Narrow"/>
              </a:rPr>
              <a:pPr algn="ctr"/>
              <a:t> R$ 3.880,00 </a:t>
            </a:fld>
            <a:endParaRPr lang="pt-BR" sz="3600" b="1" kern="1200">
              <a:solidFill>
                <a:srgbClr val="22C55E"/>
              </a:solidFill>
            </a:endParaRPr>
          </a:p>
        </xdr:txBody>
      </xdr:sp>
      <xdr:sp macro="" textlink="">
        <xdr:nvSpPr>
          <xdr:cNvPr id="24" name="Retângulo: Cantos Superiores Arredondados 23">
            <a:extLst>
              <a:ext uri="{FF2B5EF4-FFF2-40B4-BE49-F238E27FC236}">
                <a16:creationId xmlns:a16="http://schemas.microsoft.com/office/drawing/2014/main" id="{4A1F90DC-6777-6E0D-F6C7-E4153C25B868}"/>
              </a:ext>
            </a:extLst>
          </xdr:cNvPr>
          <xdr:cNvSpPr/>
        </xdr:nvSpPr>
        <xdr:spPr>
          <a:xfrm>
            <a:off x="7776687" y="1159193"/>
            <a:ext cx="3843814" cy="437493"/>
          </a:xfrm>
          <a:prstGeom prst="round2SameRect">
            <a:avLst/>
          </a:prstGeom>
          <a:solidFill>
            <a:srgbClr val="22C55E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kern="1200">
                <a:latin typeface="Segoe UI" panose="020B0502040204020203" pitchFamily="34" charset="0"/>
                <a:cs typeface="Segoe UI" panose="020B0502040204020203" pitchFamily="34" charset="0"/>
              </a:rPr>
              <a:t>TOTAL SUBSCRIPTIONS MINECRAFT</a:t>
            </a:r>
            <a:r>
              <a:rPr lang="pt-BR" sz="1100" b="1" kern="1200" baseline="0">
                <a:latin typeface="Segoe UI" panose="020B0502040204020203" pitchFamily="34" charset="0"/>
                <a:cs typeface="Segoe UI" panose="020B0502040204020203" pitchFamily="34" charset="0"/>
              </a:rPr>
              <a:t> </a:t>
            </a:r>
            <a:r>
              <a:rPr lang="pt-BR" sz="1100" b="1" kern="1200">
                <a:latin typeface="Segoe UI" panose="020B0502040204020203" pitchFamily="34" charset="0"/>
                <a:cs typeface="Segoe UI" panose="020B0502040204020203" pitchFamily="34" charset="0"/>
              </a:rPr>
              <a:t>SEASON PASS</a:t>
            </a:r>
          </a:p>
        </xdr:txBody>
      </xdr:sp>
      <xdr:grpSp>
        <xdr:nvGrpSpPr>
          <xdr:cNvPr id="25" name="Agrupar 24">
            <a:extLst>
              <a:ext uri="{FF2B5EF4-FFF2-40B4-BE49-F238E27FC236}">
                <a16:creationId xmlns:a16="http://schemas.microsoft.com/office/drawing/2014/main" id="{150B2C94-9D5D-49A6-B131-D70888AB2680}"/>
              </a:ext>
            </a:extLst>
          </xdr:cNvPr>
          <xdr:cNvGrpSpPr/>
        </xdr:nvGrpSpPr>
        <xdr:grpSpPr>
          <a:xfrm>
            <a:off x="7954310" y="1697493"/>
            <a:ext cx="1089452" cy="564136"/>
            <a:chOff x="3495675" y="5400674"/>
            <a:chExt cx="1549476" cy="752476"/>
          </a:xfrm>
        </xdr:grpSpPr>
        <xdr:pic>
          <xdr:nvPicPr>
            <xdr:cNvPr id="26" name="Imagem 25">
              <a:extLst>
                <a:ext uri="{FF2B5EF4-FFF2-40B4-BE49-F238E27FC236}">
                  <a16:creationId xmlns:a16="http://schemas.microsoft.com/office/drawing/2014/main" id="{1F3EC444-0B76-D734-E296-5A6B57C3B1E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998608" y="5400674"/>
              <a:ext cx="555497" cy="609599"/>
            </a:xfrm>
            <a:prstGeom prst="rect">
              <a:avLst/>
            </a:prstGeom>
          </xdr:spPr>
        </xdr:pic>
        <xdr:pic>
          <xdr:nvPicPr>
            <xdr:cNvPr id="27" name="Gráfico 26">
              <a:extLst>
                <a:ext uri="{FF2B5EF4-FFF2-40B4-BE49-F238E27FC236}">
                  <a16:creationId xmlns:a16="http://schemas.microsoft.com/office/drawing/2014/main" id="{5631692E-5EE0-7C23-216D-35E6E841AD7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xdr:blipFill>
          <xdr:spPr>
            <a:xfrm>
              <a:off x="3495675" y="5895937"/>
              <a:ext cx="1549476" cy="2572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2</xdr:col>
      <xdr:colOff>8629</xdr:colOff>
      <xdr:row>14</xdr:row>
      <xdr:rowOff>106205</xdr:rowOff>
    </xdr:from>
    <xdr:to>
      <xdr:col>6</xdr:col>
      <xdr:colOff>388620</xdr:colOff>
      <xdr:row>30</xdr:row>
      <xdr:rowOff>68580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BF010324-0D13-48F3-9FA9-6FF56F20097A}"/>
            </a:ext>
          </a:extLst>
        </xdr:cNvPr>
        <xdr:cNvSpPr/>
      </xdr:nvSpPr>
      <xdr:spPr>
        <a:xfrm>
          <a:off x="2134609" y="2552225"/>
          <a:ext cx="2818391" cy="2888455"/>
        </a:xfrm>
        <a:prstGeom prst="roundRect">
          <a:avLst>
            <a:gd name="adj" fmla="val 3606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1</xdr:col>
      <xdr:colOff>240507</xdr:colOff>
      <xdr:row>14</xdr:row>
      <xdr:rowOff>106204</xdr:rowOff>
    </xdr:from>
    <xdr:to>
      <xdr:col>6</xdr:col>
      <xdr:colOff>396241</xdr:colOff>
      <xdr:row>16</xdr:row>
      <xdr:rowOff>175110</xdr:rowOff>
    </xdr:to>
    <xdr:sp macro="" textlink="">
      <xdr:nvSpPr>
        <xdr:cNvPr id="29" name="Retângulo: Cantos Superiores Arredondados 28">
          <a:extLst>
            <a:ext uri="{FF2B5EF4-FFF2-40B4-BE49-F238E27FC236}">
              <a16:creationId xmlns:a16="http://schemas.microsoft.com/office/drawing/2014/main" id="{04E90C24-1EAF-4464-9E27-CA84E66E9AD4}"/>
            </a:ext>
          </a:extLst>
        </xdr:cNvPr>
        <xdr:cNvSpPr/>
      </xdr:nvSpPr>
      <xdr:spPr>
        <a:xfrm>
          <a:off x="2122647" y="2552224"/>
          <a:ext cx="2837974" cy="434666"/>
        </a:xfrm>
        <a:prstGeom prst="round2SameRect">
          <a:avLst/>
        </a:prstGeom>
        <a:solidFill>
          <a:srgbClr val="22C55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kern="1200">
              <a:latin typeface="Segoe UI" panose="020B0502040204020203" pitchFamily="34" charset="0"/>
              <a:cs typeface="Segoe UI" panose="020B0502040204020203" pitchFamily="34" charset="0"/>
            </a:rPr>
            <a:t>TOTAL CUSTOMER PER PLAN</a:t>
          </a:r>
        </a:p>
      </xdr:txBody>
    </xdr:sp>
    <xdr:clientData/>
  </xdr:twoCellAnchor>
  <xdr:twoCellAnchor editAs="absolute">
    <xdr:from>
      <xdr:col>0</xdr:col>
      <xdr:colOff>576381</xdr:colOff>
      <xdr:row>1</xdr:row>
      <xdr:rowOff>15240</xdr:rowOff>
    </xdr:from>
    <xdr:to>
      <xdr:col>0</xdr:col>
      <xdr:colOff>1297560</xdr:colOff>
      <xdr:row>4</xdr:row>
      <xdr:rowOff>28848</xdr:rowOff>
    </xdr:to>
    <xdr:sp macro="" textlink="">
      <xdr:nvSpPr>
        <xdr:cNvPr id="31" name="Elipse 30">
          <a:extLst>
            <a:ext uri="{FF2B5EF4-FFF2-40B4-BE49-F238E27FC236}">
              <a16:creationId xmlns:a16="http://schemas.microsoft.com/office/drawing/2014/main" id="{EC4DB9D8-18DD-49D2-B4D2-0B5AC081D94F}"/>
            </a:ext>
          </a:extLst>
        </xdr:cNvPr>
        <xdr:cNvSpPr/>
      </xdr:nvSpPr>
      <xdr:spPr>
        <a:xfrm>
          <a:off x="576381" y="198120"/>
          <a:ext cx="721179" cy="707028"/>
        </a:xfrm>
        <a:prstGeom prst="ellipse">
          <a:avLst/>
        </a:prstGeom>
        <a:blipFill>
          <a:blip xmlns:r="http://schemas.openxmlformats.org/officeDocument/2006/relationships" r:embed="rId6"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 editAs="absolute">
    <xdr:from>
      <xdr:col>0</xdr:col>
      <xdr:colOff>147756</xdr:colOff>
      <xdr:row>5</xdr:row>
      <xdr:rowOff>16009</xdr:rowOff>
    </xdr:from>
    <xdr:to>
      <xdr:col>0</xdr:col>
      <xdr:colOff>1726185</xdr:colOff>
      <xdr:row>6</xdr:row>
      <xdr:rowOff>112059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F5379FD9-A036-8872-5B5B-6762AA6D8744}"/>
            </a:ext>
          </a:extLst>
        </xdr:cNvPr>
        <xdr:cNvSpPr/>
      </xdr:nvSpPr>
      <xdr:spPr>
        <a:xfrm>
          <a:off x="147756" y="983749"/>
          <a:ext cx="1578429" cy="22559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kern="1200"/>
            <a:t> Bem vinda, Liana</a:t>
          </a:r>
        </a:p>
      </xdr:txBody>
    </xdr:sp>
    <xdr:clientData/>
  </xdr:twoCellAnchor>
  <xdr:twoCellAnchor editAs="absolute">
    <xdr:from>
      <xdr:col>1</xdr:col>
      <xdr:colOff>223956</xdr:colOff>
      <xdr:row>2</xdr:row>
      <xdr:rowOff>228280</xdr:rowOff>
    </xdr:from>
    <xdr:to>
      <xdr:col>9</xdr:col>
      <xdr:colOff>314325</xdr:colOff>
      <xdr:row>5</xdr:row>
      <xdr:rowOff>10005</xdr:rowOff>
    </xdr:to>
    <xdr:sp macro="" textlink="">
      <xdr:nvSpPr>
        <xdr:cNvPr id="33" name="Retângulo 32">
          <a:extLst>
            <a:ext uri="{FF2B5EF4-FFF2-40B4-BE49-F238E27FC236}">
              <a16:creationId xmlns:a16="http://schemas.microsoft.com/office/drawing/2014/main" id="{FA5C664E-2699-4DBD-8F76-94B27D37C6C0}"/>
            </a:ext>
          </a:extLst>
        </xdr:cNvPr>
        <xdr:cNvSpPr/>
      </xdr:nvSpPr>
      <xdr:spPr>
        <a:xfrm>
          <a:off x="2052756" y="771205"/>
          <a:ext cx="4595694" cy="229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50" b="0" kern="1200">
              <a:solidFill>
                <a:schemeClr val="bg1">
                  <a:lumMod val="50000"/>
                </a:schemeClr>
              </a:solidFill>
            </a:rPr>
            <a:t>Calculation period: 01/01/2024 - 31/12/2024 | Update date: 25/12/2024 09:00:00</a:t>
          </a:r>
        </a:p>
      </xdr:txBody>
    </xdr:sp>
    <xdr:clientData/>
  </xdr:twoCellAnchor>
  <xdr:twoCellAnchor>
    <xdr:from>
      <xdr:col>2</xdr:col>
      <xdr:colOff>76200</xdr:colOff>
      <xdr:row>17</xdr:row>
      <xdr:rowOff>60960</xdr:rowOff>
    </xdr:from>
    <xdr:to>
      <xdr:col>6</xdr:col>
      <xdr:colOff>266700</xdr:colOff>
      <xdr:row>30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4649A73-33B7-40A9-B073-3309018A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411480</xdr:colOff>
      <xdr:row>28</xdr:row>
      <xdr:rowOff>137160</xdr:rowOff>
    </xdr:from>
    <xdr:to>
      <xdr:col>0</xdr:col>
      <xdr:colOff>1363980</xdr:colOff>
      <xdr:row>30</xdr:row>
      <xdr:rowOff>38100</xdr:rowOff>
    </xdr:to>
    <xdr:sp macro="[0]!AlternarModoApresentaca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108A0EB8-1D95-4A27-F078-CCF8464CFFDD}"/>
            </a:ext>
          </a:extLst>
        </xdr:cNvPr>
        <xdr:cNvSpPr/>
      </xdr:nvSpPr>
      <xdr:spPr>
        <a:xfrm>
          <a:off x="411480" y="5143500"/>
          <a:ext cx="952500" cy="266700"/>
        </a:xfrm>
        <a:prstGeom prst="roundRect">
          <a:avLst/>
        </a:prstGeom>
        <a:solidFill>
          <a:srgbClr val="2AE6B1"/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/>
            <a:t>TELA INTEIRA</a:t>
          </a:r>
        </a:p>
      </xdr:txBody>
    </xdr:sp>
    <xdr:clientData/>
  </xdr:twoCellAnchor>
  <xdr:twoCellAnchor>
    <xdr:from>
      <xdr:col>6</xdr:col>
      <xdr:colOff>519169</xdr:colOff>
      <xdr:row>14</xdr:row>
      <xdr:rowOff>98585</xdr:rowOff>
    </xdr:from>
    <xdr:to>
      <xdr:col>11</xdr:col>
      <xdr:colOff>289560</xdr:colOff>
      <xdr:row>30</xdr:row>
      <xdr:rowOff>60960</xdr:rowOff>
    </xdr:to>
    <xdr:sp macro="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7B0091F8-2BDD-28E6-7173-82464BADA12A}"/>
            </a:ext>
          </a:extLst>
        </xdr:cNvPr>
        <xdr:cNvSpPr/>
      </xdr:nvSpPr>
      <xdr:spPr>
        <a:xfrm>
          <a:off x="5083549" y="2544605"/>
          <a:ext cx="2818391" cy="2888455"/>
        </a:xfrm>
        <a:prstGeom prst="roundRect">
          <a:avLst>
            <a:gd name="adj" fmla="val 3606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6</xdr:col>
      <xdr:colOff>507207</xdr:colOff>
      <xdr:row>14</xdr:row>
      <xdr:rowOff>98584</xdr:rowOff>
    </xdr:from>
    <xdr:to>
      <xdr:col>11</xdr:col>
      <xdr:colOff>297181</xdr:colOff>
      <xdr:row>16</xdr:row>
      <xdr:rowOff>167490</xdr:rowOff>
    </xdr:to>
    <xdr:sp macro="" textlink="">
      <xdr:nvSpPr>
        <xdr:cNvPr id="19" name="Retângulo: Cantos Superiores Arredondados 18">
          <a:extLst>
            <a:ext uri="{FF2B5EF4-FFF2-40B4-BE49-F238E27FC236}">
              <a16:creationId xmlns:a16="http://schemas.microsoft.com/office/drawing/2014/main" id="{6CF95E48-2611-542B-F973-923BA840894A}"/>
            </a:ext>
          </a:extLst>
        </xdr:cNvPr>
        <xdr:cNvSpPr/>
      </xdr:nvSpPr>
      <xdr:spPr>
        <a:xfrm>
          <a:off x="5071587" y="2544604"/>
          <a:ext cx="2837974" cy="434666"/>
        </a:xfrm>
        <a:prstGeom prst="round2SameRect">
          <a:avLst/>
        </a:prstGeom>
        <a:solidFill>
          <a:srgbClr val="22C55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kern="1200">
              <a:latin typeface="Segoe UI" panose="020B0502040204020203" pitchFamily="34" charset="0"/>
              <a:cs typeface="Segoe UI" panose="020B0502040204020203" pitchFamily="34" charset="0"/>
            </a:rPr>
            <a:t>PERCENTAGE AUTO RENEWAL</a:t>
          </a:r>
        </a:p>
      </xdr:txBody>
    </xdr:sp>
    <xdr:clientData/>
  </xdr:twoCellAnchor>
  <xdr:twoCellAnchor>
    <xdr:from>
      <xdr:col>7</xdr:col>
      <xdr:colOff>45720</xdr:colOff>
      <xdr:row>16</xdr:row>
      <xdr:rowOff>91440</xdr:rowOff>
    </xdr:from>
    <xdr:to>
      <xdr:col>11</xdr:col>
      <xdr:colOff>99060</xdr:colOff>
      <xdr:row>30</xdr:row>
      <xdr:rowOff>60960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909DB936-6770-4026-8062-FDA5BD9AD3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225266</xdr:colOff>
      <xdr:row>6</xdr:row>
      <xdr:rowOff>111858</xdr:rowOff>
    </xdr:from>
    <xdr:to>
      <xdr:col>21</xdr:col>
      <xdr:colOff>408866</xdr:colOff>
      <xdr:row>13</xdr:row>
      <xdr:rowOff>76398</xdr:rowOff>
    </xdr:to>
    <xdr:sp macro="" textlink="">
      <xdr:nvSpPr>
        <xdr:cNvPr id="40" name="Retângulo: Cantos Arredondados 39">
          <a:extLst>
            <a:ext uri="{FF2B5EF4-FFF2-40B4-BE49-F238E27FC236}">
              <a16:creationId xmlns:a16="http://schemas.microsoft.com/office/drawing/2014/main" id="{088481AE-0058-3A84-6B34-CB75BE8653BF}"/>
            </a:ext>
          </a:extLst>
        </xdr:cNvPr>
        <xdr:cNvSpPr/>
      </xdr:nvSpPr>
      <xdr:spPr>
        <a:xfrm>
          <a:off x="10116026" y="1209138"/>
          <a:ext cx="3841200" cy="1130400"/>
        </a:xfrm>
        <a:prstGeom prst="roundRect">
          <a:avLst>
            <a:gd name="adj" fmla="val 4069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16</xdr:col>
      <xdr:colOff>594360</xdr:colOff>
      <xdr:row>9</xdr:row>
      <xdr:rowOff>143307</xdr:rowOff>
    </xdr:from>
    <xdr:to>
      <xdr:col>21</xdr:col>
      <xdr:colOff>388621</xdr:colOff>
      <xdr:row>12</xdr:row>
      <xdr:rowOff>181075</xdr:rowOff>
    </xdr:to>
    <xdr:sp macro="" textlink="C̳álculos!B59">
      <xdr:nvSpPr>
        <xdr:cNvPr id="41" name="Retângulo: Cantos Arredondados 40">
          <a:extLst>
            <a:ext uri="{FF2B5EF4-FFF2-40B4-BE49-F238E27FC236}">
              <a16:creationId xmlns:a16="http://schemas.microsoft.com/office/drawing/2014/main" id="{861469D2-B6D4-D29F-E743-F15979144669}"/>
            </a:ext>
          </a:extLst>
        </xdr:cNvPr>
        <xdr:cNvSpPr/>
      </xdr:nvSpPr>
      <xdr:spPr>
        <a:xfrm>
          <a:off x="11094720" y="1682547"/>
          <a:ext cx="2842261" cy="578788"/>
        </a:xfrm>
        <a:prstGeom prst="roundRect">
          <a:avLst>
            <a:gd name="adj" fmla="val 4069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7CF72B92-745F-446C-9E2F-9D804D54DE8A}" type="TxLink">
            <a:rPr lang="en-US" sz="3600" b="1" i="0" u="none" strike="noStrike" kern="1200">
              <a:solidFill>
                <a:srgbClr val="22C55E"/>
              </a:solidFill>
              <a:latin typeface="Aptos Narrow"/>
              <a:ea typeface="+mn-ea"/>
              <a:cs typeface="+mn-cs"/>
            </a:rPr>
            <a:pPr marL="0" indent="0" algn="ctr"/>
            <a:t> R$ 7.633,00 </a:t>
          </a:fld>
          <a:endParaRPr lang="pt-BR" sz="3600" b="1" i="0" u="none" strike="noStrike" kern="1200">
            <a:solidFill>
              <a:srgbClr val="22C55E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225267</xdr:colOff>
      <xdr:row>6</xdr:row>
      <xdr:rowOff>54293</xdr:rowOff>
    </xdr:from>
    <xdr:to>
      <xdr:col>21</xdr:col>
      <xdr:colOff>411481</xdr:colOff>
      <xdr:row>9</xdr:row>
      <xdr:rowOff>49826</xdr:rowOff>
    </xdr:to>
    <xdr:sp macro="" textlink="">
      <xdr:nvSpPr>
        <xdr:cNvPr id="42" name="Retângulo: Cantos Superiores Arredondados 41">
          <a:extLst>
            <a:ext uri="{FF2B5EF4-FFF2-40B4-BE49-F238E27FC236}">
              <a16:creationId xmlns:a16="http://schemas.microsoft.com/office/drawing/2014/main" id="{7BA91805-AE2B-5538-3C1E-47DEAF0474B5}"/>
            </a:ext>
          </a:extLst>
        </xdr:cNvPr>
        <xdr:cNvSpPr/>
      </xdr:nvSpPr>
      <xdr:spPr>
        <a:xfrm>
          <a:off x="10116027" y="1151573"/>
          <a:ext cx="3843814" cy="437493"/>
        </a:xfrm>
        <a:prstGeom prst="round2SameRect">
          <a:avLst/>
        </a:prstGeom>
        <a:solidFill>
          <a:srgbClr val="22C55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kern="1200">
              <a:latin typeface="Segoe UI" panose="020B0502040204020203" pitchFamily="34" charset="0"/>
              <a:cs typeface="Segoe UI" panose="020B0502040204020203" pitchFamily="34" charset="0"/>
            </a:rPr>
            <a:t>TOTAL REVENUE</a:t>
          </a:r>
        </a:p>
      </xdr:txBody>
    </xdr:sp>
    <xdr:clientData/>
  </xdr:twoCellAnchor>
  <xdr:twoCellAnchor editAs="oneCell">
    <xdr:from>
      <xdr:col>15</xdr:col>
      <xdr:colOff>541020</xdr:colOff>
      <xdr:row>9</xdr:row>
      <xdr:rowOff>129540</xdr:rowOff>
    </xdr:from>
    <xdr:to>
      <xdr:col>16</xdr:col>
      <xdr:colOff>541701</xdr:colOff>
      <xdr:row>13</xdr:row>
      <xdr:rowOff>15921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7C462B97-958E-9754-215D-33DB43274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0431780" y="1668780"/>
          <a:ext cx="610281" cy="610281"/>
        </a:xfrm>
        <a:prstGeom prst="rect">
          <a:avLst/>
        </a:prstGeom>
      </xdr:spPr>
    </xdr:pic>
    <xdr:clientData/>
  </xdr:twoCellAnchor>
  <xdr:twoCellAnchor>
    <xdr:from>
      <xdr:col>11</xdr:col>
      <xdr:colOff>412489</xdr:colOff>
      <xdr:row>14</xdr:row>
      <xdr:rowOff>90965</xdr:rowOff>
    </xdr:from>
    <xdr:to>
      <xdr:col>21</xdr:col>
      <xdr:colOff>434340</xdr:colOff>
      <xdr:row>30</xdr:row>
      <xdr:rowOff>53340</xdr:rowOff>
    </xdr:to>
    <xdr:sp macro="" textlink="">
      <xdr:nvSpPr>
        <xdr:cNvPr id="48" name="Retângulo: Cantos Arredondados 47">
          <a:extLst>
            <a:ext uri="{FF2B5EF4-FFF2-40B4-BE49-F238E27FC236}">
              <a16:creationId xmlns:a16="http://schemas.microsoft.com/office/drawing/2014/main" id="{78E66985-5AD6-0493-08CD-C76797022BBC}"/>
            </a:ext>
          </a:extLst>
        </xdr:cNvPr>
        <xdr:cNvSpPr/>
      </xdr:nvSpPr>
      <xdr:spPr>
        <a:xfrm>
          <a:off x="8024869" y="2536985"/>
          <a:ext cx="5957831" cy="2888455"/>
        </a:xfrm>
        <a:prstGeom prst="roundRect">
          <a:avLst>
            <a:gd name="adj" fmla="val 3606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12</xdr:col>
      <xdr:colOff>60960</xdr:colOff>
      <xdr:row>17</xdr:row>
      <xdr:rowOff>45720</xdr:rowOff>
    </xdr:from>
    <xdr:to>
      <xdr:col>21</xdr:col>
      <xdr:colOff>365760</xdr:colOff>
      <xdr:row>29</xdr:row>
      <xdr:rowOff>167640</xdr:rowOff>
    </xdr:to>
    <xdr:graphicFrame macro="">
      <xdr:nvGraphicFramePr>
        <xdr:cNvPr id="47" name="Gráfico 46">
          <a:extLst>
            <a:ext uri="{FF2B5EF4-FFF2-40B4-BE49-F238E27FC236}">
              <a16:creationId xmlns:a16="http://schemas.microsoft.com/office/drawing/2014/main" id="{702236F1-116F-4569-B529-0A54F2C010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400526</xdr:colOff>
      <xdr:row>14</xdr:row>
      <xdr:rowOff>90964</xdr:rowOff>
    </xdr:from>
    <xdr:to>
      <xdr:col>21</xdr:col>
      <xdr:colOff>434339</xdr:colOff>
      <xdr:row>16</xdr:row>
      <xdr:rowOff>159870</xdr:rowOff>
    </xdr:to>
    <xdr:sp macro="" textlink="">
      <xdr:nvSpPr>
        <xdr:cNvPr id="49" name="Retângulo: Cantos Superiores Arredondados 48">
          <a:extLst>
            <a:ext uri="{FF2B5EF4-FFF2-40B4-BE49-F238E27FC236}">
              <a16:creationId xmlns:a16="http://schemas.microsoft.com/office/drawing/2014/main" id="{D17EBC84-D561-C076-9197-FBDCC1441310}"/>
            </a:ext>
          </a:extLst>
        </xdr:cNvPr>
        <xdr:cNvSpPr/>
      </xdr:nvSpPr>
      <xdr:spPr>
        <a:xfrm>
          <a:off x="8012906" y="2536984"/>
          <a:ext cx="5969793" cy="434666"/>
        </a:xfrm>
        <a:prstGeom prst="round2SameRect">
          <a:avLst/>
        </a:prstGeom>
        <a:solidFill>
          <a:srgbClr val="22C55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kern="1200">
              <a:latin typeface="Segoe UI" panose="020B0502040204020203" pitchFamily="34" charset="0"/>
              <a:cs typeface="Segoe UI" panose="020B0502040204020203" pitchFamily="34" charset="0"/>
            </a:rPr>
            <a:t>TOTAL REVENUE BY PLAN OVER TIME</a:t>
          </a:r>
        </a:p>
      </xdr:txBody>
    </xdr:sp>
    <xdr:clientData/>
  </xdr:twoCellAnchor>
  <xdr:twoCellAnchor editAs="oneCell">
    <xdr:from>
      <xdr:col>0</xdr:col>
      <xdr:colOff>0</xdr:colOff>
      <xdr:row>15</xdr:row>
      <xdr:rowOff>121921</xdr:rowOff>
    </xdr:from>
    <xdr:to>
      <xdr:col>0</xdr:col>
      <xdr:colOff>1782000</xdr:colOff>
      <xdr:row>27</xdr:row>
      <xdr:rowOff>38101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0" name="Meses (Start Date)">
              <a:extLst>
                <a:ext uri="{FF2B5EF4-FFF2-40B4-BE49-F238E27FC236}">
                  <a16:creationId xmlns:a16="http://schemas.microsoft.com/office/drawing/2014/main" id="{B5E3D5DF-689A-4657-A499-C9CDB50F6DD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Start Date)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750821"/>
              <a:ext cx="1782000" cy="21107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lipe" refreshedDate="45650.439435069442" createdVersion="8" refreshedVersion="8" minRefreshableVersion="3" recordCount="295" xr:uid="{590B1258-CF1E-4807-8414-B70214B3D9F1}">
  <cacheSource type="worksheet">
    <worksheetSource name="Tabela1"/>
  </cacheSource>
  <cacheFields count="15">
    <cacheField name="Subscriber ID" numFmtId="0">
      <sharedItems containsSemiMixedTypes="0" containsString="0" containsNumber="1" containsInteger="1" minValue="3231" maxValue="3525"/>
    </cacheField>
    <cacheField name="Name" numFmtId="0">
      <sharedItems count="280">
        <s v="João Silva"/>
        <s v="Maria Oliveira"/>
        <s v="Lucas Fernandes"/>
        <s v="Ana Souza"/>
        <s v="Pedro Gonçalves"/>
        <s v="Felipe Costa"/>
        <s v="Camila Ribeiro"/>
        <s v="André Mendes"/>
        <s v="Sofia Almeida"/>
        <s v="Bruno Martins"/>
        <s v="Rita Castro"/>
        <s v="Marco Túlio"/>
        <s v="Lívia Silveira"/>
        <s v="Diogo Sousa"/>
        <s v="Fernanda Lima"/>
        <s v="Caio Pereira"/>
        <s v="Beatriz Gomes"/>
        <s v="Cesar Oliveira"/>
        <s v="Débora Machado"/>
        <s v="Eduardo Vargas"/>
        <s v="Gabriela Santos"/>
        <s v="Henrique Dias"/>
        <s v="Isabela Moreira"/>
        <s v="Joaquim Barbosa"/>
        <s v="Lara Rocha"/>
        <s v="Matheus Silva"/>
        <s v="Nicole Costa"/>
        <s v="Otávio Mendonça"/>
        <s v="Paula Ferreira"/>
        <s v="Raquel Alves"/>
        <s v="Samuel Pires"/>
        <s v="Tânia Barros"/>
        <s v="Vinicius Lima"/>
        <s v="Yasmin Teixeira"/>
        <s v="Zé Carlos"/>
        <s v="Amanda Nogueira"/>
        <s v="Bruno Cavalheiro"/>
        <s v="Carla Dias"/>
        <s v="Diego Fontes"/>
        <s v="Eunice Lima"/>
        <s v="Fábio Martins"/>
        <s v="Gisele Araújo"/>
        <s v="Hélio Castro"/>
        <s v="Ingrid Menezes"/>
        <s v="Jorge Baptista"/>
        <s v="Kléber Oliveira"/>
        <s v="Luciana Freitas"/>
        <s v="Márcia Eller"/>
        <s v="Nilo Peçanha"/>
        <s v="Oscar Neves"/>
        <s v="Patrícia Soares"/>
        <s v="Quirino Gonçalves"/>
        <s v="Raul Machado"/>
        <s v="Sônia Lobo"/>
        <s v="Tiago Ramos"/>
        <s v="Ugo Pires"/>
        <s v="Valéria Nobre"/>
        <s v="William Siqueira"/>
        <s v="Xuxa Meneghel"/>
        <s v="Yara Figueiredo"/>
        <s v="Zacarias Alves"/>
        <s v="Amanda Bynes"/>
        <s v="Bruno Mars"/>
        <s v="Carla Bruni"/>
        <s v="Diego Maradona"/>
        <s v="Estela Marques"/>
        <s v="Fábio Nobre"/>
        <s v="Gabriel Oliveira"/>
        <s v="Helena Santos"/>
        <s v="Ivan Carvalho"/>
        <s v="Júlia Ferreira"/>
        <s v="Karla Alves"/>
        <s v="Lucas Mendes"/>
        <s v="Mônica Gomes"/>
        <s v="Norberto Queiroz"/>
        <s v="Otávio Barros"/>
        <s v="Paula Vieira"/>
        <s v="Quentin Ramos"/>
        <s v="Raquel Novaes"/>
        <s v="Samantha Lopes"/>
        <s v="Tiago Martins"/>
        <s v="Ulysses Guimarães"/>
        <s v="Vanessa Silva"/>
        <s v="William Carneiro"/>
        <s v="Ximena Rocha"/>
        <s v="Yasmin Figueiredo"/>
        <s v="Zara Cunha"/>
        <s v="Alan Teixeira"/>
        <s v="Bárbara Oliveira"/>
        <s v="Carlos Junqueira"/>
        <s v="Daniela Moura"/>
        <s v="Eduardo Lima"/>
        <s v="Fabiana Araújo"/>
        <s v="Geraldo Ribeiro"/>
        <s v="Héctor Vargas"/>
        <s v="Isabela Fonseca"/>
        <s v="João Pedro Almeida"/>
        <s v="Klara Costa"/>
        <s v="Luciana Mendes"/>
        <s v="Marcelo Gouveia"/>
        <s v="Nívea Borges"/>
        <s v="Oscar Nogueira"/>
        <s v="Patrícia Alves"/>
        <s v="Rafaela Silva"/>
        <s v="Samantha Moraes"/>
        <s v="Tatiana Rocha"/>
        <s v="Ulisses Tavares"/>
        <s v="Víctor Lemos"/>
        <s v="Wilma Barros"/>
        <s v="Xavier Nascimento"/>
        <s v="Yago Pereira"/>
        <s v="Zilda Ferreira"/>
        <s v="Amanda Lopes"/>
        <s v="Bruno Miranda"/>
        <s v="Célia Torres"/>
        <s v="Diogo Souza"/>
        <s v="Elisa Castro"/>
        <s v="Fátima Lima"/>
        <s v="Hélio Martins"/>
        <s v="Íris Santos"/>
        <s v="João Marcelo"/>
        <s v="Larissa Gomes"/>
        <s v="Márcio Silva"/>
        <s v="Nadia Costa"/>
        <s v="Oscar Almeida"/>
        <s v="Patricia Soares"/>
        <s v="Quênia Barros"/>
        <s v="Rafael Torres"/>
        <s v="Silvia Nascimento"/>
        <s v="Tiago Mendes"/>
        <s v="Ursula Silva"/>
        <s v="Vanessa Moraes"/>
        <s v="Waldir Junior"/>
        <s v="Xavier Lopes"/>
        <s v="Yolanda Freitas"/>
        <s v="Zacarias Nunes"/>
        <s v="Ana Clara Barreto"/>
        <s v="Bruno Henrique"/>
        <s v="Carlos Eduardo"/>
        <s v="Débora Lima"/>
        <s v="Elisa Neves"/>
        <s v="Fabiano Gomes"/>
        <s v="Gisele Oliveira"/>
        <s v="Héctor Silva"/>
        <s v="Igor Martins"/>
        <s v="Joana Figueiredo"/>
        <s v="Kleber Machado"/>
        <s v="Luciana Santos"/>
        <s v="Marcos Teixeira"/>
        <s v="Natalia Costa"/>
        <s v="Oscar Ribeiro"/>
        <s v="Patricia Almeida"/>
        <s v="Quirino Junior"/>
        <s v="Renata Machado"/>
        <s v="Sônia Alves"/>
        <s v="Tiago Nunes"/>
        <s v="Ulysses Pereira"/>
        <s v="Vanessa Lima"/>
        <s v="Wagner Santos"/>
        <s v="Yasmin Silva"/>
        <s v="Zacarias de Souza"/>
        <s v="André Lima"/>
        <s v="Bianca Freitas"/>
        <s v="Caio Mendes"/>
        <s v="Eduardo Costa"/>
        <s v="Fernanda Gomes"/>
        <s v="Guilherme Souza"/>
        <s v="Helena Ribeiro"/>
        <s v="Igor Santos"/>
        <s v="João Carvalho"/>
        <s v="Klara Fagundes"/>
        <s v="Lúcia Mendonça"/>
        <s v="Marcelo Novaes"/>
        <s v="Nina Pacheco"/>
        <s v="Olívia Rios"/>
        <s v="Paulo Quintana"/>
        <s v="Raquel Domingos"/>
        <s v="Samuel Viana"/>
        <s v="Tatiane Rocha"/>
        <s v="Ulysses Farias"/>
        <s v="Vanessa Moreira"/>
        <s v="William Carvalho"/>
        <s v="Ximena Barros"/>
        <s v="Yara Machado"/>
        <s v="Zacarias Costa"/>
        <s v="André Lopes"/>
        <s v="Beatriz Souza"/>
        <s v="Daniela Araújo"/>
        <s v="Eduardo Santos"/>
        <s v="Gabriel Teixeira"/>
        <s v="Igor Mendes"/>
        <s v="Joana Silveira"/>
        <s v="Lucas Martins"/>
        <s v="Marcela Gouveia"/>
        <s v="Nicolas Borges"/>
        <s v="Olivia Freitas"/>
        <s v="Paulo Nogueira"/>
        <s v="Raquel Andrade"/>
        <s v="Sônia Carvalho"/>
        <s v="Tiago Rodrigues"/>
        <s v="Ursula Monteiro"/>
        <s v="Vanessa Pereira"/>
        <s v="Walter Silva"/>
        <s v="Xavier Almeida"/>
        <s v="Yasmine Correia"/>
        <s v="Zacarias Almeida"/>
        <s v="Amanda Costa"/>
        <s v="Bruno Ferreira"/>
        <s v="Diogo Martins"/>
        <s v="Elisa Campos"/>
        <s v="Fabiana Lima"/>
        <s v="Gabriel Santos"/>
        <s v="Helena Ferreira"/>
        <s v="Ígor Nunes"/>
        <s v="Luciana Morais"/>
        <s v="Marcos Vinícius"/>
        <s v="Natália Barros"/>
        <s v="Oscar Sampaio"/>
        <s v="Patrícia Leite"/>
        <s v="Quênia Rocha"/>
        <s v="Sandra Gouveia"/>
        <s v="Tiago Lacerda"/>
        <s v="Ursula Fonseca"/>
        <s v="Vanessa Andrade"/>
        <s v="William Castro"/>
        <s v="Xavier Monteiro"/>
        <s v="Yasmin Figueira"/>
        <s v="Zacarias Mendonça"/>
        <s v="Amanda Menezes"/>
        <s v="Bruno Santos"/>
        <s v="Carla Ferreira"/>
        <s v="Diogo Alves"/>
        <s v="Fabiano Pires"/>
        <s v="Giovana Ribeiro"/>
        <s v="Hélio Costa"/>
        <s v="Íris Loureiro"/>
        <s v="João Pereira"/>
        <s v="Klara Silva"/>
        <s v="Luciana Barros"/>
        <s v="Marcos Gomes"/>
        <s v="Natália Soares"/>
        <s v="Oscar Machado"/>
        <s v="Patrícia Lima"/>
        <s v="Quirino Neto"/>
        <s v="Rafaela Souza"/>
        <s v="Sandro Almeida"/>
        <s v="Tânia Ribeiro"/>
        <s v="Ugo Dias"/>
        <s v="Valéria Lima"/>
        <s v="William Fernandes"/>
        <s v="Xuxa Mendes"/>
        <s v="Ygor Farias"/>
        <s v="Zilda Barros"/>
        <s v="Amanda Santos"/>
        <s v="Bruno Costa"/>
        <s v="Carla Rodrigues"/>
        <s v="Diogo Pereira"/>
        <s v="Elisa Correia"/>
        <s v="Fábio Lourenço"/>
        <s v="Gabriela Neves"/>
        <s v="Henrique Gonçalves"/>
        <s v="João Marcelo Alves"/>
        <s v="Klara Fonseca"/>
        <s v="Lucas Mendonça"/>
        <s v="Marcela Torres"/>
        <s v="Natália Castro"/>
        <s v="Oscar Martins"/>
        <s v="Patrícia Oliveira"/>
        <s v="Quentin Nogueira"/>
        <s v="Raquel Silva"/>
        <s v="Sandro Gomes"/>
        <s v="Tânia Machado"/>
        <s v="Xavier Reis"/>
        <s v="Yasmin Rocha"/>
        <s v="Zacarias Duarte"/>
        <s v="Amanda Freitas"/>
        <s v="Bruno Almeida"/>
        <s v="Carla Siqueira"/>
        <s v="Diogo Ramos"/>
        <s v="Elisa Magalhães"/>
      </sharedItems>
    </cacheField>
    <cacheField name="Plan" numFmtId="0">
      <sharedItems count="3">
        <s v="Ultimate"/>
        <s v="Core"/>
        <s v="Standard"/>
      </sharedItems>
    </cacheField>
    <cacheField name="Start Date" numFmtId="14">
      <sharedItems containsSemiMixedTypes="0" containsNonDate="0" containsDate="1" containsString="0" minDate="2024-01-01T00:00:00" maxDate="2024-12-17T00:00:00" count="294">
        <d v="2024-01-01T00:00:00"/>
        <d v="2024-01-15T00:00:00"/>
        <d v="2024-02-10T00:00:00"/>
        <d v="2024-02-20T00:00:00"/>
        <d v="2024-03-05T00:00:00"/>
        <d v="2024-03-02T00:00:00"/>
        <d v="2024-03-03T00:00:00"/>
        <d v="2024-03-04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7T00:00:00"/>
        <d v="2024-03-28T00:00:00"/>
        <d v="2024-03-29T00:00:00"/>
        <d v="2024-03-30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5T00:00:00"/>
        <d v="2024-06-26T00:00:00"/>
        <d v="2024-06-27T00:00:00"/>
        <d v="2024-06-28T00:00:00"/>
        <d v="2024-06-29T00:00:00"/>
        <d v="2024-06-30T00:00:00"/>
        <d v="2024-07-01T00:00:00"/>
        <d v="2024-07-02T00:00:00"/>
        <d v="2024-07-03T00:00:00"/>
        <d v="2024-07-04T00:00:00"/>
        <d v="2024-07-05T00:00:00"/>
        <d v="2024-07-06T00:00:00"/>
        <d v="2024-07-07T00:00:00"/>
        <d v="2024-07-08T00:00:00"/>
        <d v="2024-07-09T00:00:00"/>
        <d v="2024-07-10T00:00:00"/>
        <d v="2024-07-11T00:00:00"/>
        <d v="2024-07-12T00:00:00"/>
        <d v="2024-07-13T00:00:00"/>
        <d v="2024-07-14T00:00:00"/>
        <d v="2024-07-15T00:00:00"/>
        <d v="2024-07-16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5T00:00:00"/>
        <d v="2024-08-26T00:00:00"/>
        <d v="2024-08-27T00:00:00"/>
        <d v="2024-08-28T00:00:00"/>
        <d v="2024-08-29T00:00:00"/>
        <d v="2024-08-30T00:00:00"/>
        <d v="2024-08-31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2T00:00:00"/>
        <d v="2024-09-13T00:00:00"/>
        <d v="2024-09-14T00:00:00"/>
        <d v="2024-09-15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29T00:00:00"/>
        <d v="2024-09-30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3T00:00:00"/>
        <d v="2024-12-14T00:00:00"/>
        <d v="2024-12-15T00:00:00"/>
        <d v="2024-12-16T00:00:00"/>
      </sharedItems>
      <fieldGroup par="14"/>
    </cacheField>
    <cacheField name="Auto Renewal" numFmtId="0">
      <sharedItems count="2">
        <s v="Yes"/>
        <s v="No"/>
      </sharedItems>
    </cacheField>
    <cacheField name="Subscription Price" numFmtId="44">
      <sharedItems containsSemiMixedTypes="0" containsString="0" containsNumber="1" containsInteger="1" minValue="5" maxValue="15"/>
    </cacheField>
    <cacheField name="Subscription Type" numFmtId="0">
      <sharedItems count="3">
        <s v="Monthly"/>
        <s v="Annual"/>
        <s v="Quarterly"/>
      </sharedItems>
    </cacheField>
    <cacheField name="EA Play Season Pass" numFmtId="0">
      <sharedItems/>
    </cacheField>
    <cacheField name="EA Play Season Pass_x000a_Price" numFmtId="44">
      <sharedItems containsMixedTypes="1" containsNumber="1" containsInteger="1" minValue="30" maxValue="30" count="2">
        <n v="30"/>
        <s v="-"/>
      </sharedItems>
    </cacheField>
    <cacheField name="Minecraft Season Pass" numFmtId="0">
      <sharedItems/>
    </cacheField>
    <cacheField name="Minecraft Season Pass Price" numFmtId="44">
      <sharedItems containsSemiMixedTypes="0" containsString="0" containsNumber="1" containsInteger="1" minValue="0" maxValue="20"/>
    </cacheField>
    <cacheField name="Coupon Value" numFmtId="44">
      <sharedItems containsSemiMixedTypes="0" containsString="0" containsNumber="1" containsInteger="1" minValue="0" maxValue="20"/>
    </cacheField>
    <cacheField name="Total Value" numFmtId="44">
      <sharedItems containsSemiMixedTypes="0" containsString="0" containsNumber="1" containsInteger="1" minValue="3" maxValue="62"/>
    </cacheField>
    <cacheField name="Dias (Start Date)" numFmtId="0" databaseField="0">
      <fieldGroup base="3">
        <rangePr groupBy="days" startDate="2024-01-01T00:00:00" endDate="2024-12-17T00:00:00"/>
        <groupItems count="368">
          <s v="&lt;01/01/2024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17/12/2024"/>
        </groupItems>
      </fieldGroup>
    </cacheField>
    <cacheField name="Meses (Start Date)" numFmtId="0" databaseField="0">
      <fieldGroup base="3">
        <rangePr groupBy="months" startDate="2024-01-01T00:00:00" endDate="2024-12-17T00:00:00"/>
        <groupItems count="14">
          <s v="&lt;01/01/2024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17/12/2024"/>
        </groupItems>
      </fieldGroup>
    </cacheField>
  </cacheFields>
  <extLst>
    <ext xmlns:x14="http://schemas.microsoft.com/office/spreadsheetml/2009/9/main" uri="{725AE2AE-9491-48be-B2B4-4EB974FC3084}">
      <x14:pivotCacheDefinition pivotCacheId="176595658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5">
  <r>
    <n v="3231"/>
    <x v="0"/>
    <x v="0"/>
    <x v="0"/>
    <x v="0"/>
    <n v="15"/>
    <x v="0"/>
    <s v="Yes"/>
    <x v="0"/>
    <s v="Yes"/>
    <n v="20"/>
    <n v="5"/>
    <n v="60"/>
  </r>
  <r>
    <n v="3232"/>
    <x v="1"/>
    <x v="1"/>
    <x v="1"/>
    <x v="1"/>
    <n v="5"/>
    <x v="1"/>
    <s v="No"/>
    <x v="1"/>
    <s v="No"/>
    <n v="0"/>
    <n v="0"/>
    <n v="5"/>
  </r>
  <r>
    <n v="3233"/>
    <x v="2"/>
    <x v="2"/>
    <x v="2"/>
    <x v="0"/>
    <n v="10"/>
    <x v="2"/>
    <s v="No"/>
    <x v="1"/>
    <s v="Yes"/>
    <n v="20"/>
    <n v="10"/>
    <n v="20"/>
  </r>
  <r>
    <n v="3234"/>
    <x v="3"/>
    <x v="0"/>
    <x v="3"/>
    <x v="1"/>
    <n v="15"/>
    <x v="0"/>
    <s v="Yes"/>
    <x v="0"/>
    <s v="Yes"/>
    <n v="20"/>
    <n v="3"/>
    <n v="62"/>
  </r>
  <r>
    <n v="3235"/>
    <x v="4"/>
    <x v="1"/>
    <x v="4"/>
    <x v="0"/>
    <n v="5"/>
    <x v="0"/>
    <s v="No"/>
    <x v="1"/>
    <s v="No"/>
    <n v="0"/>
    <n v="1"/>
    <n v="4"/>
  </r>
  <r>
    <n v="3236"/>
    <x v="5"/>
    <x v="2"/>
    <x v="5"/>
    <x v="1"/>
    <n v="10"/>
    <x v="0"/>
    <s v="No"/>
    <x v="1"/>
    <s v="Yes"/>
    <n v="20"/>
    <n v="2"/>
    <n v="28"/>
  </r>
  <r>
    <n v="3237"/>
    <x v="6"/>
    <x v="0"/>
    <x v="6"/>
    <x v="0"/>
    <n v="15"/>
    <x v="2"/>
    <s v="Yes"/>
    <x v="0"/>
    <s v="Yes"/>
    <n v="20"/>
    <n v="10"/>
    <n v="55"/>
  </r>
  <r>
    <n v="3238"/>
    <x v="7"/>
    <x v="1"/>
    <x v="7"/>
    <x v="0"/>
    <n v="5"/>
    <x v="1"/>
    <s v="No"/>
    <x v="1"/>
    <s v="No"/>
    <n v="0"/>
    <n v="0"/>
    <n v="5"/>
  </r>
  <r>
    <n v="3239"/>
    <x v="8"/>
    <x v="0"/>
    <x v="4"/>
    <x v="1"/>
    <n v="15"/>
    <x v="0"/>
    <s v="Yes"/>
    <x v="0"/>
    <s v="Yes"/>
    <n v="20"/>
    <n v="5"/>
    <n v="60"/>
  </r>
  <r>
    <n v="3240"/>
    <x v="9"/>
    <x v="2"/>
    <x v="8"/>
    <x v="0"/>
    <n v="10"/>
    <x v="2"/>
    <s v="No"/>
    <x v="1"/>
    <s v="Yes"/>
    <n v="20"/>
    <n v="15"/>
    <n v="15"/>
  </r>
  <r>
    <n v="3241"/>
    <x v="10"/>
    <x v="1"/>
    <x v="9"/>
    <x v="1"/>
    <n v="5"/>
    <x v="0"/>
    <s v="No"/>
    <x v="1"/>
    <s v="No"/>
    <n v="0"/>
    <n v="1"/>
    <n v="4"/>
  </r>
  <r>
    <n v="3242"/>
    <x v="11"/>
    <x v="0"/>
    <x v="10"/>
    <x v="0"/>
    <n v="15"/>
    <x v="1"/>
    <s v="Yes"/>
    <x v="0"/>
    <s v="Yes"/>
    <n v="20"/>
    <n v="20"/>
    <n v="45"/>
  </r>
  <r>
    <n v="3243"/>
    <x v="12"/>
    <x v="2"/>
    <x v="11"/>
    <x v="1"/>
    <n v="10"/>
    <x v="0"/>
    <s v="No"/>
    <x v="1"/>
    <s v="Yes"/>
    <n v="20"/>
    <n v="10"/>
    <n v="20"/>
  </r>
  <r>
    <n v="3244"/>
    <x v="13"/>
    <x v="1"/>
    <x v="12"/>
    <x v="0"/>
    <n v="5"/>
    <x v="2"/>
    <s v="No"/>
    <x v="1"/>
    <s v="No"/>
    <n v="0"/>
    <n v="0"/>
    <n v="5"/>
  </r>
  <r>
    <n v="3245"/>
    <x v="14"/>
    <x v="0"/>
    <x v="13"/>
    <x v="1"/>
    <n v="15"/>
    <x v="0"/>
    <s v="Yes"/>
    <x v="0"/>
    <s v="Yes"/>
    <n v="20"/>
    <n v="8"/>
    <n v="57"/>
  </r>
  <r>
    <n v="3246"/>
    <x v="15"/>
    <x v="2"/>
    <x v="14"/>
    <x v="0"/>
    <n v="10"/>
    <x v="1"/>
    <s v="No"/>
    <x v="1"/>
    <s v="Yes"/>
    <n v="20"/>
    <n v="12"/>
    <n v="18"/>
  </r>
  <r>
    <n v="3247"/>
    <x v="16"/>
    <x v="1"/>
    <x v="15"/>
    <x v="1"/>
    <n v="5"/>
    <x v="0"/>
    <s v="No"/>
    <x v="1"/>
    <s v="No"/>
    <n v="0"/>
    <n v="2"/>
    <n v="3"/>
  </r>
  <r>
    <n v="3248"/>
    <x v="17"/>
    <x v="0"/>
    <x v="16"/>
    <x v="0"/>
    <n v="15"/>
    <x v="2"/>
    <s v="Yes"/>
    <x v="0"/>
    <s v="Yes"/>
    <n v="20"/>
    <n v="7"/>
    <n v="58"/>
  </r>
  <r>
    <n v="3249"/>
    <x v="18"/>
    <x v="2"/>
    <x v="17"/>
    <x v="1"/>
    <n v="10"/>
    <x v="0"/>
    <s v="No"/>
    <x v="1"/>
    <s v="Yes"/>
    <n v="20"/>
    <n v="5"/>
    <n v="25"/>
  </r>
  <r>
    <n v="3250"/>
    <x v="19"/>
    <x v="1"/>
    <x v="18"/>
    <x v="0"/>
    <n v="5"/>
    <x v="1"/>
    <s v="No"/>
    <x v="1"/>
    <s v="No"/>
    <n v="0"/>
    <n v="0"/>
    <n v="5"/>
  </r>
  <r>
    <n v="3251"/>
    <x v="20"/>
    <x v="0"/>
    <x v="19"/>
    <x v="1"/>
    <n v="15"/>
    <x v="0"/>
    <s v="Yes"/>
    <x v="0"/>
    <s v="Yes"/>
    <n v="20"/>
    <n v="3"/>
    <n v="62"/>
  </r>
  <r>
    <n v="3252"/>
    <x v="21"/>
    <x v="2"/>
    <x v="20"/>
    <x v="0"/>
    <n v="10"/>
    <x v="2"/>
    <s v="No"/>
    <x v="1"/>
    <s v="Yes"/>
    <n v="20"/>
    <n v="15"/>
    <n v="15"/>
  </r>
  <r>
    <n v="3253"/>
    <x v="22"/>
    <x v="1"/>
    <x v="21"/>
    <x v="1"/>
    <n v="5"/>
    <x v="0"/>
    <s v="No"/>
    <x v="1"/>
    <s v="No"/>
    <n v="0"/>
    <n v="1"/>
    <n v="4"/>
  </r>
  <r>
    <n v="3254"/>
    <x v="23"/>
    <x v="0"/>
    <x v="22"/>
    <x v="0"/>
    <n v="15"/>
    <x v="1"/>
    <s v="Yes"/>
    <x v="0"/>
    <s v="Yes"/>
    <n v="20"/>
    <n v="20"/>
    <n v="45"/>
  </r>
  <r>
    <n v="3255"/>
    <x v="24"/>
    <x v="2"/>
    <x v="23"/>
    <x v="1"/>
    <n v="10"/>
    <x v="0"/>
    <s v="No"/>
    <x v="1"/>
    <s v="Yes"/>
    <n v="20"/>
    <n v="10"/>
    <n v="20"/>
  </r>
  <r>
    <n v="3256"/>
    <x v="25"/>
    <x v="1"/>
    <x v="24"/>
    <x v="0"/>
    <n v="5"/>
    <x v="2"/>
    <s v="No"/>
    <x v="1"/>
    <s v="No"/>
    <n v="0"/>
    <n v="0"/>
    <n v="5"/>
  </r>
  <r>
    <n v="3257"/>
    <x v="26"/>
    <x v="0"/>
    <x v="25"/>
    <x v="1"/>
    <n v="15"/>
    <x v="0"/>
    <s v="Yes"/>
    <x v="0"/>
    <s v="Yes"/>
    <n v="20"/>
    <n v="5"/>
    <n v="60"/>
  </r>
  <r>
    <n v="3258"/>
    <x v="27"/>
    <x v="2"/>
    <x v="26"/>
    <x v="0"/>
    <n v="10"/>
    <x v="1"/>
    <s v="No"/>
    <x v="1"/>
    <s v="Yes"/>
    <n v="20"/>
    <n v="15"/>
    <n v="15"/>
  </r>
  <r>
    <n v="3259"/>
    <x v="28"/>
    <x v="1"/>
    <x v="27"/>
    <x v="1"/>
    <n v="5"/>
    <x v="0"/>
    <s v="No"/>
    <x v="1"/>
    <s v="No"/>
    <n v="0"/>
    <n v="1"/>
    <n v="4"/>
  </r>
  <r>
    <n v="3260"/>
    <x v="29"/>
    <x v="0"/>
    <x v="28"/>
    <x v="0"/>
    <n v="15"/>
    <x v="2"/>
    <s v="Yes"/>
    <x v="0"/>
    <s v="Yes"/>
    <n v="20"/>
    <n v="7"/>
    <n v="58"/>
  </r>
  <r>
    <n v="3261"/>
    <x v="30"/>
    <x v="2"/>
    <x v="29"/>
    <x v="1"/>
    <n v="10"/>
    <x v="0"/>
    <s v="No"/>
    <x v="1"/>
    <s v="Yes"/>
    <n v="20"/>
    <n v="10"/>
    <n v="20"/>
  </r>
  <r>
    <n v="3262"/>
    <x v="31"/>
    <x v="1"/>
    <x v="30"/>
    <x v="0"/>
    <n v="5"/>
    <x v="1"/>
    <s v="No"/>
    <x v="1"/>
    <s v="No"/>
    <n v="0"/>
    <n v="0"/>
    <n v="5"/>
  </r>
  <r>
    <n v="3263"/>
    <x v="32"/>
    <x v="0"/>
    <x v="31"/>
    <x v="1"/>
    <n v="15"/>
    <x v="0"/>
    <s v="Yes"/>
    <x v="0"/>
    <s v="Yes"/>
    <n v="20"/>
    <n v="3"/>
    <n v="62"/>
  </r>
  <r>
    <n v="3264"/>
    <x v="33"/>
    <x v="2"/>
    <x v="32"/>
    <x v="0"/>
    <n v="10"/>
    <x v="2"/>
    <s v="No"/>
    <x v="1"/>
    <s v="Yes"/>
    <n v="20"/>
    <n v="15"/>
    <n v="15"/>
  </r>
  <r>
    <n v="3265"/>
    <x v="34"/>
    <x v="1"/>
    <x v="33"/>
    <x v="1"/>
    <n v="5"/>
    <x v="0"/>
    <s v="No"/>
    <x v="1"/>
    <s v="No"/>
    <n v="0"/>
    <n v="1"/>
    <n v="4"/>
  </r>
  <r>
    <n v="3266"/>
    <x v="35"/>
    <x v="1"/>
    <x v="34"/>
    <x v="0"/>
    <n v="5"/>
    <x v="0"/>
    <s v="No"/>
    <x v="1"/>
    <s v="No"/>
    <n v="0"/>
    <n v="0"/>
    <n v="5"/>
  </r>
  <r>
    <n v="3267"/>
    <x v="36"/>
    <x v="0"/>
    <x v="35"/>
    <x v="1"/>
    <n v="15"/>
    <x v="2"/>
    <s v="Yes"/>
    <x v="0"/>
    <s v="Yes"/>
    <n v="20"/>
    <n v="7"/>
    <n v="58"/>
  </r>
  <r>
    <n v="3268"/>
    <x v="37"/>
    <x v="2"/>
    <x v="36"/>
    <x v="0"/>
    <n v="10"/>
    <x v="1"/>
    <s v="No"/>
    <x v="1"/>
    <s v="Yes"/>
    <n v="20"/>
    <n v="10"/>
    <n v="20"/>
  </r>
  <r>
    <n v="3269"/>
    <x v="38"/>
    <x v="1"/>
    <x v="37"/>
    <x v="1"/>
    <n v="5"/>
    <x v="2"/>
    <s v="No"/>
    <x v="1"/>
    <s v="No"/>
    <n v="0"/>
    <n v="1"/>
    <n v="4"/>
  </r>
  <r>
    <n v="3270"/>
    <x v="39"/>
    <x v="0"/>
    <x v="38"/>
    <x v="0"/>
    <n v="15"/>
    <x v="0"/>
    <s v="Yes"/>
    <x v="0"/>
    <s v="Yes"/>
    <n v="20"/>
    <n v="15"/>
    <n v="50"/>
  </r>
  <r>
    <n v="3271"/>
    <x v="40"/>
    <x v="2"/>
    <x v="39"/>
    <x v="1"/>
    <n v="10"/>
    <x v="0"/>
    <s v="No"/>
    <x v="1"/>
    <s v="Yes"/>
    <n v="20"/>
    <n v="5"/>
    <n v="25"/>
  </r>
  <r>
    <n v="3272"/>
    <x v="41"/>
    <x v="1"/>
    <x v="40"/>
    <x v="0"/>
    <n v="5"/>
    <x v="1"/>
    <s v="No"/>
    <x v="1"/>
    <s v="No"/>
    <n v="0"/>
    <n v="0"/>
    <n v="5"/>
  </r>
  <r>
    <n v="3273"/>
    <x v="42"/>
    <x v="0"/>
    <x v="41"/>
    <x v="1"/>
    <n v="15"/>
    <x v="2"/>
    <s v="Yes"/>
    <x v="0"/>
    <s v="Yes"/>
    <n v="20"/>
    <n v="20"/>
    <n v="45"/>
  </r>
  <r>
    <n v="3274"/>
    <x v="43"/>
    <x v="2"/>
    <x v="42"/>
    <x v="0"/>
    <n v="10"/>
    <x v="2"/>
    <s v="No"/>
    <x v="1"/>
    <s v="Yes"/>
    <n v="20"/>
    <n v="12"/>
    <n v="18"/>
  </r>
  <r>
    <n v="3275"/>
    <x v="44"/>
    <x v="1"/>
    <x v="43"/>
    <x v="1"/>
    <n v="5"/>
    <x v="0"/>
    <s v="No"/>
    <x v="1"/>
    <s v="No"/>
    <n v="0"/>
    <n v="2"/>
    <n v="3"/>
  </r>
  <r>
    <n v="3276"/>
    <x v="45"/>
    <x v="0"/>
    <x v="44"/>
    <x v="0"/>
    <n v="15"/>
    <x v="1"/>
    <s v="Yes"/>
    <x v="0"/>
    <s v="Yes"/>
    <n v="20"/>
    <n v="5"/>
    <n v="60"/>
  </r>
  <r>
    <n v="3277"/>
    <x v="46"/>
    <x v="2"/>
    <x v="45"/>
    <x v="1"/>
    <n v="10"/>
    <x v="0"/>
    <s v="No"/>
    <x v="1"/>
    <s v="Yes"/>
    <n v="20"/>
    <n v="10"/>
    <n v="20"/>
  </r>
  <r>
    <n v="3278"/>
    <x v="47"/>
    <x v="1"/>
    <x v="46"/>
    <x v="0"/>
    <n v="5"/>
    <x v="2"/>
    <s v="No"/>
    <x v="1"/>
    <s v="No"/>
    <n v="0"/>
    <n v="0"/>
    <n v="5"/>
  </r>
  <r>
    <n v="3279"/>
    <x v="48"/>
    <x v="0"/>
    <x v="47"/>
    <x v="1"/>
    <n v="15"/>
    <x v="0"/>
    <s v="Yes"/>
    <x v="0"/>
    <s v="Yes"/>
    <n v="20"/>
    <n v="3"/>
    <n v="62"/>
  </r>
  <r>
    <n v="3280"/>
    <x v="49"/>
    <x v="2"/>
    <x v="48"/>
    <x v="0"/>
    <n v="10"/>
    <x v="1"/>
    <s v="No"/>
    <x v="1"/>
    <s v="Yes"/>
    <n v="20"/>
    <n v="15"/>
    <n v="15"/>
  </r>
  <r>
    <n v="3281"/>
    <x v="50"/>
    <x v="1"/>
    <x v="49"/>
    <x v="1"/>
    <n v="5"/>
    <x v="0"/>
    <s v="No"/>
    <x v="1"/>
    <s v="No"/>
    <n v="0"/>
    <n v="1"/>
    <n v="4"/>
  </r>
  <r>
    <n v="3282"/>
    <x v="51"/>
    <x v="0"/>
    <x v="50"/>
    <x v="0"/>
    <n v="15"/>
    <x v="2"/>
    <s v="Yes"/>
    <x v="0"/>
    <s v="Yes"/>
    <n v="20"/>
    <n v="7"/>
    <n v="58"/>
  </r>
  <r>
    <n v="3283"/>
    <x v="52"/>
    <x v="2"/>
    <x v="51"/>
    <x v="1"/>
    <n v="10"/>
    <x v="0"/>
    <s v="No"/>
    <x v="1"/>
    <s v="Yes"/>
    <n v="20"/>
    <n v="10"/>
    <n v="20"/>
  </r>
  <r>
    <n v="3284"/>
    <x v="53"/>
    <x v="1"/>
    <x v="52"/>
    <x v="0"/>
    <n v="5"/>
    <x v="1"/>
    <s v="No"/>
    <x v="1"/>
    <s v="No"/>
    <n v="0"/>
    <n v="0"/>
    <n v="5"/>
  </r>
  <r>
    <n v="3285"/>
    <x v="54"/>
    <x v="0"/>
    <x v="53"/>
    <x v="1"/>
    <n v="15"/>
    <x v="0"/>
    <s v="Yes"/>
    <x v="0"/>
    <s v="Yes"/>
    <n v="20"/>
    <n v="20"/>
    <n v="45"/>
  </r>
  <r>
    <n v="3286"/>
    <x v="55"/>
    <x v="2"/>
    <x v="54"/>
    <x v="0"/>
    <n v="10"/>
    <x v="2"/>
    <s v="No"/>
    <x v="1"/>
    <s v="Yes"/>
    <n v="20"/>
    <n v="15"/>
    <n v="15"/>
  </r>
  <r>
    <n v="3287"/>
    <x v="56"/>
    <x v="1"/>
    <x v="55"/>
    <x v="1"/>
    <n v="5"/>
    <x v="0"/>
    <s v="No"/>
    <x v="1"/>
    <s v="No"/>
    <n v="0"/>
    <n v="1"/>
    <n v="4"/>
  </r>
  <r>
    <n v="3288"/>
    <x v="57"/>
    <x v="0"/>
    <x v="56"/>
    <x v="0"/>
    <n v="15"/>
    <x v="1"/>
    <s v="Yes"/>
    <x v="0"/>
    <s v="Yes"/>
    <n v="20"/>
    <n v="3"/>
    <n v="62"/>
  </r>
  <r>
    <n v="3289"/>
    <x v="58"/>
    <x v="2"/>
    <x v="57"/>
    <x v="1"/>
    <n v="10"/>
    <x v="0"/>
    <s v="No"/>
    <x v="1"/>
    <s v="Yes"/>
    <n v="20"/>
    <n v="10"/>
    <n v="20"/>
  </r>
  <r>
    <n v="3290"/>
    <x v="59"/>
    <x v="1"/>
    <x v="58"/>
    <x v="0"/>
    <n v="5"/>
    <x v="2"/>
    <s v="No"/>
    <x v="1"/>
    <s v="No"/>
    <n v="0"/>
    <n v="0"/>
    <n v="5"/>
  </r>
  <r>
    <n v="3291"/>
    <x v="60"/>
    <x v="0"/>
    <x v="59"/>
    <x v="1"/>
    <n v="15"/>
    <x v="0"/>
    <s v="Yes"/>
    <x v="0"/>
    <s v="Yes"/>
    <n v="20"/>
    <n v="5"/>
    <n v="60"/>
  </r>
  <r>
    <n v="3292"/>
    <x v="61"/>
    <x v="2"/>
    <x v="60"/>
    <x v="0"/>
    <n v="10"/>
    <x v="1"/>
    <s v="No"/>
    <x v="1"/>
    <s v="Yes"/>
    <n v="20"/>
    <n v="15"/>
    <n v="15"/>
  </r>
  <r>
    <n v="3293"/>
    <x v="62"/>
    <x v="1"/>
    <x v="61"/>
    <x v="1"/>
    <n v="5"/>
    <x v="0"/>
    <s v="No"/>
    <x v="1"/>
    <s v="No"/>
    <n v="0"/>
    <n v="1"/>
    <n v="4"/>
  </r>
  <r>
    <n v="3294"/>
    <x v="63"/>
    <x v="0"/>
    <x v="62"/>
    <x v="0"/>
    <n v="15"/>
    <x v="2"/>
    <s v="Yes"/>
    <x v="0"/>
    <s v="Yes"/>
    <n v="20"/>
    <n v="20"/>
    <n v="45"/>
  </r>
  <r>
    <n v="3295"/>
    <x v="64"/>
    <x v="2"/>
    <x v="63"/>
    <x v="1"/>
    <n v="10"/>
    <x v="0"/>
    <s v="No"/>
    <x v="1"/>
    <s v="Yes"/>
    <n v="20"/>
    <n v="5"/>
    <n v="25"/>
  </r>
  <r>
    <n v="3296"/>
    <x v="65"/>
    <x v="1"/>
    <x v="64"/>
    <x v="1"/>
    <n v="5"/>
    <x v="0"/>
    <s v="No"/>
    <x v="1"/>
    <s v="No"/>
    <n v="0"/>
    <n v="0"/>
    <n v="5"/>
  </r>
  <r>
    <n v="3297"/>
    <x v="66"/>
    <x v="0"/>
    <x v="65"/>
    <x v="0"/>
    <n v="15"/>
    <x v="2"/>
    <s v="Yes"/>
    <x v="0"/>
    <s v="Yes"/>
    <n v="20"/>
    <n v="7"/>
    <n v="58"/>
  </r>
  <r>
    <n v="3298"/>
    <x v="67"/>
    <x v="2"/>
    <x v="66"/>
    <x v="1"/>
    <n v="10"/>
    <x v="1"/>
    <s v="No"/>
    <x v="1"/>
    <s v="Yes"/>
    <n v="20"/>
    <n v="10"/>
    <n v="20"/>
  </r>
  <r>
    <n v="3299"/>
    <x v="68"/>
    <x v="1"/>
    <x v="67"/>
    <x v="0"/>
    <n v="5"/>
    <x v="2"/>
    <s v="No"/>
    <x v="1"/>
    <s v="No"/>
    <n v="0"/>
    <n v="1"/>
    <n v="4"/>
  </r>
  <r>
    <n v="3300"/>
    <x v="69"/>
    <x v="0"/>
    <x v="68"/>
    <x v="1"/>
    <n v="15"/>
    <x v="0"/>
    <s v="Yes"/>
    <x v="0"/>
    <s v="Yes"/>
    <n v="20"/>
    <n v="15"/>
    <n v="50"/>
  </r>
  <r>
    <n v="3301"/>
    <x v="70"/>
    <x v="2"/>
    <x v="69"/>
    <x v="0"/>
    <n v="10"/>
    <x v="0"/>
    <s v="No"/>
    <x v="1"/>
    <s v="Yes"/>
    <n v="20"/>
    <n v="5"/>
    <n v="25"/>
  </r>
  <r>
    <n v="3302"/>
    <x v="71"/>
    <x v="1"/>
    <x v="70"/>
    <x v="1"/>
    <n v="5"/>
    <x v="1"/>
    <s v="No"/>
    <x v="1"/>
    <s v="No"/>
    <n v="0"/>
    <n v="0"/>
    <n v="5"/>
  </r>
  <r>
    <n v="3303"/>
    <x v="72"/>
    <x v="0"/>
    <x v="71"/>
    <x v="0"/>
    <n v="15"/>
    <x v="2"/>
    <s v="Yes"/>
    <x v="0"/>
    <s v="Yes"/>
    <n v="20"/>
    <n v="20"/>
    <n v="45"/>
  </r>
  <r>
    <n v="3304"/>
    <x v="73"/>
    <x v="2"/>
    <x v="72"/>
    <x v="1"/>
    <n v="10"/>
    <x v="2"/>
    <s v="No"/>
    <x v="1"/>
    <s v="Yes"/>
    <n v="20"/>
    <n v="12"/>
    <n v="18"/>
  </r>
  <r>
    <n v="3305"/>
    <x v="74"/>
    <x v="1"/>
    <x v="73"/>
    <x v="0"/>
    <n v="5"/>
    <x v="0"/>
    <s v="No"/>
    <x v="1"/>
    <s v="No"/>
    <n v="0"/>
    <n v="2"/>
    <n v="3"/>
  </r>
  <r>
    <n v="3306"/>
    <x v="75"/>
    <x v="0"/>
    <x v="74"/>
    <x v="1"/>
    <n v="15"/>
    <x v="1"/>
    <s v="Yes"/>
    <x v="0"/>
    <s v="Yes"/>
    <n v="20"/>
    <n v="5"/>
    <n v="60"/>
  </r>
  <r>
    <n v="3307"/>
    <x v="76"/>
    <x v="2"/>
    <x v="75"/>
    <x v="0"/>
    <n v="10"/>
    <x v="0"/>
    <s v="No"/>
    <x v="1"/>
    <s v="Yes"/>
    <n v="20"/>
    <n v="10"/>
    <n v="20"/>
  </r>
  <r>
    <n v="3308"/>
    <x v="77"/>
    <x v="1"/>
    <x v="76"/>
    <x v="1"/>
    <n v="5"/>
    <x v="2"/>
    <s v="No"/>
    <x v="1"/>
    <s v="No"/>
    <n v="0"/>
    <n v="0"/>
    <n v="5"/>
  </r>
  <r>
    <n v="3309"/>
    <x v="78"/>
    <x v="0"/>
    <x v="77"/>
    <x v="0"/>
    <n v="15"/>
    <x v="0"/>
    <s v="Yes"/>
    <x v="0"/>
    <s v="Yes"/>
    <n v="20"/>
    <n v="3"/>
    <n v="62"/>
  </r>
  <r>
    <n v="3310"/>
    <x v="79"/>
    <x v="2"/>
    <x v="78"/>
    <x v="1"/>
    <n v="10"/>
    <x v="1"/>
    <s v="No"/>
    <x v="1"/>
    <s v="Yes"/>
    <n v="20"/>
    <n v="15"/>
    <n v="15"/>
  </r>
  <r>
    <n v="3311"/>
    <x v="80"/>
    <x v="1"/>
    <x v="79"/>
    <x v="0"/>
    <n v="5"/>
    <x v="0"/>
    <s v="No"/>
    <x v="1"/>
    <s v="No"/>
    <n v="0"/>
    <n v="1"/>
    <n v="4"/>
  </r>
  <r>
    <n v="3312"/>
    <x v="81"/>
    <x v="0"/>
    <x v="80"/>
    <x v="1"/>
    <n v="15"/>
    <x v="2"/>
    <s v="Yes"/>
    <x v="0"/>
    <s v="Yes"/>
    <n v="20"/>
    <n v="7"/>
    <n v="58"/>
  </r>
  <r>
    <n v="3313"/>
    <x v="82"/>
    <x v="2"/>
    <x v="81"/>
    <x v="0"/>
    <n v="10"/>
    <x v="0"/>
    <s v="No"/>
    <x v="1"/>
    <s v="Yes"/>
    <n v="20"/>
    <n v="10"/>
    <n v="20"/>
  </r>
  <r>
    <n v="3314"/>
    <x v="83"/>
    <x v="1"/>
    <x v="82"/>
    <x v="1"/>
    <n v="5"/>
    <x v="1"/>
    <s v="No"/>
    <x v="1"/>
    <s v="No"/>
    <n v="0"/>
    <n v="0"/>
    <n v="5"/>
  </r>
  <r>
    <n v="3315"/>
    <x v="84"/>
    <x v="0"/>
    <x v="83"/>
    <x v="0"/>
    <n v="15"/>
    <x v="0"/>
    <s v="Yes"/>
    <x v="0"/>
    <s v="Yes"/>
    <n v="20"/>
    <n v="20"/>
    <n v="45"/>
  </r>
  <r>
    <n v="3316"/>
    <x v="85"/>
    <x v="2"/>
    <x v="84"/>
    <x v="1"/>
    <n v="10"/>
    <x v="2"/>
    <s v="No"/>
    <x v="1"/>
    <s v="Yes"/>
    <n v="20"/>
    <n v="15"/>
    <n v="15"/>
  </r>
  <r>
    <n v="3317"/>
    <x v="86"/>
    <x v="1"/>
    <x v="85"/>
    <x v="0"/>
    <n v="5"/>
    <x v="0"/>
    <s v="No"/>
    <x v="1"/>
    <s v="No"/>
    <n v="0"/>
    <n v="1"/>
    <n v="4"/>
  </r>
  <r>
    <n v="3318"/>
    <x v="87"/>
    <x v="0"/>
    <x v="86"/>
    <x v="1"/>
    <n v="15"/>
    <x v="1"/>
    <s v="Yes"/>
    <x v="0"/>
    <s v="Yes"/>
    <n v="20"/>
    <n v="3"/>
    <n v="62"/>
  </r>
  <r>
    <n v="3319"/>
    <x v="88"/>
    <x v="2"/>
    <x v="87"/>
    <x v="0"/>
    <n v="10"/>
    <x v="0"/>
    <s v="No"/>
    <x v="1"/>
    <s v="Yes"/>
    <n v="20"/>
    <n v="10"/>
    <n v="20"/>
  </r>
  <r>
    <n v="3320"/>
    <x v="89"/>
    <x v="1"/>
    <x v="88"/>
    <x v="1"/>
    <n v="5"/>
    <x v="2"/>
    <s v="No"/>
    <x v="1"/>
    <s v="No"/>
    <n v="0"/>
    <n v="0"/>
    <n v="5"/>
  </r>
  <r>
    <n v="3321"/>
    <x v="90"/>
    <x v="0"/>
    <x v="89"/>
    <x v="0"/>
    <n v="15"/>
    <x v="0"/>
    <s v="Yes"/>
    <x v="0"/>
    <s v="Yes"/>
    <n v="20"/>
    <n v="5"/>
    <n v="60"/>
  </r>
  <r>
    <n v="3322"/>
    <x v="91"/>
    <x v="2"/>
    <x v="90"/>
    <x v="1"/>
    <n v="10"/>
    <x v="1"/>
    <s v="No"/>
    <x v="1"/>
    <s v="Yes"/>
    <n v="20"/>
    <n v="15"/>
    <n v="15"/>
  </r>
  <r>
    <n v="3323"/>
    <x v="92"/>
    <x v="1"/>
    <x v="91"/>
    <x v="0"/>
    <n v="5"/>
    <x v="0"/>
    <s v="No"/>
    <x v="1"/>
    <s v="No"/>
    <n v="0"/>
    <n v="1"/>
    <n v="4"/>
  </r>
  <r>
    <n v="3324"/>
    <x v="93"/>
    <x v="0"/>
    <x v="92"/>
    <x v="1"/>
    <n v="15"/>
    <x v="2"/>
    <s v="Yes"/>
    <x v="0"/>
    <s v="Yes"/>
    <n v="20"/>
    <n v="20"/>
    <n v="45"/>
  </r>
  <r>
    <n v="3325"/>
    <x v="94"/>
    <x v="2"/>
    <x v="93"/>
    <x v="0"/>
    <n v="10"/>
    <x v="2"/>
    <s v="No"/>
    <x v="1"/>
    <s v="Yes"/>
    <n v="20"/>
    <n v="15"/>
    <n v="15"/>
  </r>
  <r>
    <n v="3326"/>
    <x v="95"/>
    <x v="1"/>
    <x v="94"/>
    <x v="1"/>
    <n v="5"/>
    <x v="1"/>
    <s v="No"/>
    <x v="1"/>
    <s v="No"/>
    <n v="0"/>
    <n v="0"/>
    <n v="5"/>
  </r>
  <r>
    <n v="3327"/>
    <x v="96"/>
    <x v="0"/>
    <x v="95"/>
    <x v="0"/>
    <n v="15"/>
    <x v="0"/>
    <s v="Yes"/>
    <x v="0"/>
    <s v="Yes"/>
    <n v="20"/>
    <n v="7"/>
    <n v="58"/>
  </r>
  <r>
    <n v="3328"/>
    <x v="97"/>
    <x v="2"/>
    <x v="96"/>
    <x v="1"/>
    <n v="10"/>
    <x v="1"/>
    <s v="No"/>
    <x v="1"/>
    <s v="Yes"/>
    <n v="20"/>
    <n v="10"/>
    <n v="20"/>
  </r>
  <r>
    <n v="3329"/>
    <x v="98"/>
    <x v="1"/>
    <x v="97"/>
    <x v="0"/>
    <n v="5"/>
    <x v="2"/>
    <s v="No"/>
    <x v="1"/>
    <s v="No"/>
    <n v="0"/>
    <n v="1"/>
    <n v="4"/>
  </r>
  <r>
    <n v="3330"/>
    <x v="99"/>
    <x v="0"/>
    <x v="98"/>
    <x v="1"/>
    <n v="15"/>
    <x v="0"/>
    <s v="Yes"/>
    <x v="0"/>
    <s v="Yes"/>
    <n v="20"/>
    <n v="15"/>
    <n v="50"/>
  </r>
  <r>
    <n v="3331"/>
    <x v="100"/>
    <x v="2"/>
    <x v="99"/>
    <x v="0"/>
    <n v="10"/>
    <x v="0"/>
    <s v="No"/>
    <x v="1"/>
    <s v="Yes"/>
    <n v="20"/>
    <n v="5"/>
    <n v="25"/>
  </r>
  <r>
    <n v="3332"/>
    <x v="101"/>
    <x v="1"/>
    <x v="100"/>
    <x v="1"/>
    <n v="5"/>
    <x v="1"/>
    <s v="No"/>
    <x v="1"/>
    <s v="No"/>
    <n v="0"/>
    <n v="0"/>
    <n v="5"/>
  </r>
  <r>
    <n v="3333"/>
    <x v="102"/>
    <x v="0"/>
    <x v="101"/>
    <x v="0"/>
    <n v="15"/>
    <x v="2"/>
    <s v="Yes"/>
    <x v="0"/>
    <s v="Yes"/>
    <n v="20"/>
    <n v="20"/>
    <n v="45"/>
  </r>
  <r>
    <n v="3334"/>
    <x v="103"/>
    <x v="2"/>
    <x v="102"/>
    <x v="1"/>
    <n v="10"/>
    <x v="2"/>
    <s v="No"/>
    <x v="1"/>
    <s v="Yes"/>
    <n v="20"/>
    <n v="12"/>
    <n v="18"/>
  </r>
  <r>
    <n v="3335"/>
    <x v="104"/>
    <x v="1"/>
    <x v="103"/>
    <x v="0"/>
    <n v="5"/>
    <x v="0"/>
    <s v="No"/>
    <x v="1"/>
    <s v="No"/>
    <n v="0"/>
    <n v="2"/>
    <n v="3"/>
  </r>
  <r>
    <n v="3336"/>
    <x v="105"/>
    <x v="1"/>
    <x v="104"/>
    <x v="0"/>
    <n v="5"/>
    <x v="0"/>
    <s v="No"/>
    <x v="1"/>
    <s v="No"/>
    <n v="0"/>
    <n v="0"/>
    <n v="5"/>
  </r>
  <r>
    <n v="3337"/>
    <x v="106"/>
    <x v="0"/>
    <x v="105"/>
    <x v="1"/>
    <n v="15"/>
    <x v="2"/>
    <s v="Yes"/>
    <x v="0"/>
    <s v="Yes"/>
    <n v="20"/>
    <n v="7"/>
    <n v="58"/>
  </r>
  <r>
    <n v="3338"/>
    <x v="107"/>
    <x v="2"/>
    <x v="106"/>
    <x v="0"/>
    <n v="10"/>
    <x v="1"/>
    <s v="No"/>
    <x v="1"/>
    <s v="Yes"/>
    <n v="20"/>
    <n v="10"/>
    <n v="20"/>
  </r>
  <r>
    <n v="3339"/>
    <x v="108"/>
    <x v="1"/>
    <x v="107"/>
    <x v="1"/>
    <n v="5"/>
    <x v="2"/>
    <s v="No"/>
    <x v="1"/>
    <s v="No"/>
    <n v="0"/>
    <n v="1"/>
    <n v="4"/>
  </r>
  <r>
    <n v="3340"/>
    <x v="109"/>
    <x v="0"/>
    <x v="108"/>
    <x v="0"/>
    <n v="15"/>
    <x v="0"/>
    <s v="Yes"/>
    <x v="0"/>
    <s v="Yes"/>
    <n v="20"/>
    <n v="15"/>
    <n v="50"/>
  </r>
  <r>
    <n v="3341"/>
    <x v="110"/>
    <x v="2"/>
    <x v="109"/>
    <x v="1"/>
    <n v="10"/>
    <x v="0"/>
    <s v="No"/>
    <x v="1"/>
    <s v="Yes"/>
    <n v="20"/>
    <n v="5"/>
    <n v="25"/>
  </r>
  <r>
    <n v="3342"/>
    <x v="111"/>
    <x v="1"/>
    <x v="110"/>
    <x v="0"/>
    <n v="5"/>
    <x v="1"/>
    <s v="No"/>
    <x v="1"/>
    <s v="No"/>
    <n v="0"/>
    <n v="0"/>
    <n v="5"/>
  </r>
  <r>
    <n v="3343"/>
    <x v="112"/>
    <x v="0"/>
    <x v="111"/>
    <x v="1"/>
    <n v="15"/>
    <x v="2"/>
    <s v="Yes"/>
    <x v="0"/>
    <s v="Yes"/>
    <n v="20"/>
    <n v="20"/>
    <n v="45"/>
  </r>
  <r>
    <n v="3344"/>
    <x v="113"/>
    <x v="2"/>
    <x v="112"/>
    <x v="0"/>
    <n v="10"/>
    <x v="2"/>
    <s v="No"/>
    <x v="1"/>
    <s v="Yes"/>
    <n v="20"/>
    <n v="12"/>
    <n v="18"/>
  </r>
  <r>
    <n v="3345"/>
    <x v="114"/>
    <x v="1"/>
    <x v="113"/>
    <x v="1"/>
    <n v="5"/>
    <x v="0"/>
    <s v="No"/>
    <x v="1"/>
    <s v="No"/>
    <n v="0"/>
    <n v="2"/>
    <n v="3"/>
  </r>
  <r>
    <n v="3346"/>
    <x v="115"/>
    <x v="0"/>
    <x v="114"/>
    <x v="0"/>
    <n v="15"/>
    <x v="1"/>
    <s v="Yes"/>
    <x v="0"/>
    <s v="Yes"/>
    <n v="20"/>
    <n v="5"/>
    <n v="60"/>
  </r>
  <r>
    <n v="3347"/>
    <x v="116"/>
    <x v="2"/>
    <x v="115"/>
    <x v="1"/>
    <n v="10"/>
    <x v="0"/>
    <s v="No"/>
    <x v="1"/>
    <s v="Yes"/>
    <n v="20"/>
    <n v="10"/>
    <n v="20"/>
  </r>
  <r>
    <n v="3348"/>
    <x v="117"/>
    <x v="1"/>
    <x v="116"/>
    <x v="0"/>
    <n v="5"/>
    <x v="2"/>
    <s v="No"/>
    <x v="1"/>
    <s v="No"/>
    <n v="0"/>
    <n v="0"/>
    <n v="5"/>
  </r>
  <r>
    <n v="3349"/>
    <x v="93"/>
    <x v="0"/>
    <x v="117"/>
    <x v="1"/>
    <n v="15"/>
    <x v="0"/>
    <s v="Yes"/>
    <x v="0"/>
    <s v="Yes"/>
    <n v="20"/>
    <n v="3"/>
    <n v="62"/>
  </r>
  <r>
    <n v="3350"/>
    <x v="118"/>
    <x v="2"/>
    <x v="118"/>
    <x v="0"/>
    <n v="10"/>
    <x v="1"/>
    <s v="No"/>
    <x v="1"/>
    <s v="Yes"/>
    <n v="20"/>
    <n v="15"/>
    <n v="15"/>
  </r>
  <r>
    <n v="3351"/>
    <x v="119"/>
    <x v="1"/>
    <x v="119"/>
    <x v="1"/>
    <n v="5"/>
    <x v="0"/>
    <s v="No"/>
    <x v="1"/>
    <s v="No"/>
    <n v="0"/>
    <n v="1"/>
    <n v="4"/>
  </r>
  <r>
    <n v="3352"/>
    <x v="120"/>
    <x v="0"/>
    <x v="120"/>
    <x v="0"/>
    <n v="15"/>
    <x v="2"/>
    <s v="Yes"/>
    <x v="0"/>
    <s v="Yes"/>
    <n v="20"/>
    <n v="7"/>
    <n v="58"/>
  </r>
  <r>
    <n v="3353"/>
    <x v="121"/>
    <x v="2"/>
    <x v="121"/>
    <x v="1"/>
    <n v="10"/>
    <x v="0"/>
    <s v="No"/>
    <x v="1"/>
    <s v="Yes"/>
    <n v="20"/>
    <n v="10"/>
    <n v="20"/>
  </r>
  <r>
    <n v="3354"/>
    <x v="122"/>
    <x v="1"/>
    <x v="122"/>
    <x v="0"/>
    <n v="5"/>
    <x v="1"/>
    <s v="No"/>
    <x v="1"/>
    <s v="No"/>
    <n v="0"/>
    <n v="0"/>
    <n v="5"/>
  </r>
  <r>
    <n v="3355"/>
    <x v="123"/>
    <x v="0"/>
    <x v="123"/>
    <x v="1"/>
    <n v="15"/>
    <x v="0"/>
    <s v="Yes"/>
    <x v="0"/>
    <s v="Yes"/>
    <n v="20"/>
    <n v="20"/>
    <n v="45"/>
  </r>
  <r>
    <n v="3356"/>
    <x v="124"/>
    <x v="2"/>
    <x v="124"/>
    <x v="0"/>
    <n v="10"/>
    <x v="2"/>
    <s v="No"/>
    <x v="1"/>
    <s v="Yes"/>
    <n v="20"/>
    <n v="15"/>
    <n v="15"/>
  </r>
  <r>
    <n v="3357"/>
    <x v="125"/>
    <x v="1"/>
    <x v="125"/>
    <x v="1"/>
    <n v="5"/>
    <x v="0"/>
    <s v="No"/>
    <x v="1"/>
    <s v="No"/>
    <n v="0"/>
    <n v="1"/>
    <n v="4"/>
  </r>
  <r>
    <n v="3358"/>
    <x v="126"/>
    <x v="0"/>
    <x v="126"/>
    <x v="0"/>
    <n v="15"/>
    <x v="1"/>
    <s v="Yes"/>
    <x v="0"/>
    <s v="Yes"/>
    <n v="20"/>
    <n v="3"/>
    <n v="62"/>
  </r>
  <r>
    <n v="3359"/>
    <x v="127"/>
    <x v="2"/>
    <x v="127"/>
    <x v="1"/>
    <n v="10"/>
    <x v="0"/>
    <s v="No"/>
    <x v="1"/>
    <s v="Yes"/>
    <n v="20"/>
    <n v="10"/>
    <n v="20"/>
  </r>
  <r>
    <n v="3360"/>
    <x v="128"/>
    <x v="1"/>
    <x v="128"/>
    <x v="0"/>
    <n v="5"/>
    <x v="2"/>
    <s v="No"/>
    <x v="1"/>
    <s v="No"/>
    <n v="0"/>
    <n v="0"/>
    <n v="5"/>
  </r>
  <r>
    <n v="3361"/>
    <x v="129"/>
    <x v="0"/>
    <x v="129"/>
    <x v="1"/>
    <n v="15"/>
    <x v="0"/>
    <s v="Yes"/>
    <x v="0"/>
    <s v="Yes"/>
    <n v="20"/>
    <n v="15"/>
    <n v="50"/>
  </r>
  <r>
    <n v="3362"/>
    <x v="130"/>
    <x v="2"/>
    <x v="130"/>
    <x v="0"/>
    <n v="10"/>
    <x v="1"/>
    <s v="No"/>
    <x v="1"/>
    <s v="Yes"/>
    <n v="20"/>
    <n v="15"/>
    <n v="15"/>
  </r>
  <r>
    <n v="3363"/>
    <x v="131"/>
    <x v="1"/>
    <x v="131"/>
    <x v="1"/>
    <n v="5"/>
    <x v="0"/>
    <s v="No"/>
    <x v="1"/>
    <s v="No"/>
    <n v="0"/>
    <n v="1"/>
    <n v="4"/>
  </r>
  <r>
    <n v="3364"/>
    <x v="132"/>
    <x v="0"/>
    <x v="132"/>
    <x v="0"/>
    <n v="15"/>
    <x v="2"/>
    <s v="Yes"/>
    <x v="0"/>
    <s v="Yes"/>
    <n v="20"/>
    <n v="7"/>
    <n v="58"/>
  </r>
  <r>
    <n v="3365"/>
    <x v="133"/>
    <x v="2"/>
    <x v="133"/>
    <x v="1"/>
    <n v="10"/>
    <x v="0"/>
    <s v="No"/>
    <x v="1"/>
    <s v="Yes"/>
    <n v="20"/>
    <n v="10"/>
    <n v="20"/>
  </r>
  <r>
    <n v="3366"/>
    <x v="134"/>
    <x v="1"/>
    <x v="134"/>
    <x v="0"/>
    <n v="5"/>
    <x v="0"/>
    <s v="No"/>
    <x v="1"/>
    <s v="No"/>
    <n v="0"/>
    <n v="0"/>
    <n v="5"/>
  </r>
  <r>
    <n v="3367"/>
    <x v="135"/>
    <x v="0"/>
    <x v="135"/>
    <x v="1"/>
    <n v="15"/>
    <x v="2"/>
    <s v="Yes"/>
    <x v="0"/>
    <s v="Yes"/>
    <n v="20"/>
    <n v="7"/>
    <n v="58"/>
  </r>
  <r>
    <n v="3368"/>
    <x v="136"/>
    <x v="2"/>
    <x v="136"/>
    <x v="0"/>
    <n v="10"/>
    <x v="1"/>
    <s v="No"/>
    <x v="1"/>
    <s v="Yes"/>
    <n v="20"/>
    <n v="10"/>
    <n v="20"/>
  </r>
  <r>
    <n v="3369"/>
    <x v="137"/>
    <x v="1"/>
    <x v="137"/>
    <x v="1"/>
    <n v="5"/>
    <x v="2"/>
    <s v="No"/>
    <x v="1"/>
    <s v="No"/>
    <n v="0"/>
    <n v="1"/>
    <n v="4"/>
  </r>
  <r>
    <n v="3370"/>
    <x v="138"/>
    <x v="0"/>
    <x v="138"/>
    <x v="0"/>
    <n v="15"/>
    <x v="0"/>
    <s v="Yes"/>
    <x v="0"/>
    <s v="Yes"/>
    <n v="20"/>
    <n v="15"/>
    <n v="50"/>
  </r>
  <r>
    <n v="3371"/>
    <x v="139"/>
    <x v="2"/>
    <x v="139"/>
    <x v="1"/>
    <n v="10"/>
    <x v="0"/>
    <s v="No"/>
    <x v="1"/>
    <s v="Yes"/>
    <n v="20"/>
    <n v="5"/>
    <n v="25"/>
  </r>
  <r>
    <n v="3372"/>
    <x v="140"/>
    <x v="1"/>
    <x v="140"/>
    <x v="0"/>
    <n v="5"/>
    <x v="1"/>
    <s v="No"/>
    <x v="1"/>
    <s v="No"/>
    <n v="0"/>
    <n v="0"/>
    <n v="5"/>
  </r>
  <r>
    <n v="3373"/>
    <x v="141"/>
    <x v="0"/>
    <x v="141"/>
    <x v="1"/>
    <n v="15"/>
    <x v="2"/>
    <s v="Yes"/>
    <x v="0"/>
    <s v="Yes"/>
    <n v="20"/>
    <n v="20"/>
    <n v="45"/>
  </r>
  <r>
    <n v="3374"/>
    <x v="142"/>
    <x v="2"/>
    <x v="142"/>
    <x v="0"/>
    <n v="10"/>
    <x v="2"/>
    <s v="No"/>
    <x v="1"/>
    <s v="Yes"/>
    <n v="20"/>
    <n v="12"/>
    <n v="18"/>
  </r>
  <r>
    <n v="3375"/>
    <x v="143"/>
    <x v="1"/>
    <x v="143"/>
    <x v="1"/>
    <n v="5"/>
    <x v="0"/>
    <s v="No"/>
    <x v="1"/>
    <s v="No"/>
    <n v="0"/>
    <n v="2"/>
    <n v="3"/>
  </r>
  <r>
    <n v="3376"/>
    <x v="144"/>
    <x v="0"/>
    <x v="144"/>
    <x v="0"/>
    <n v="15"/>
    <x v="1"/>
    <s v="Yes"/>
    <x v="0"/>
    <s v="Yes"/>
    <n v="20"/>
    <n v="5"/>
    <n v="60"/>
  </r>
  <r>
    <n v="3377"/>
    <x v="145"/>
    <x v="2"/>
    <x v="145"/>
    <x v="1"/>
    <n v="10"/>
    <x v="0"/>
    <s v="No"/>
    <x v="1"/>
    <s v="Yes"/>
    <n v="20"/>
    <n v="10"/>
    <n v="20"/>
  </r>
  <r>
    <n v="3378"/>
    <x v="146"/>
    <x v="1"/>
    <x v="146"/>
    <x v="0"/>
    <n v="5"/>
    <x v="2"/>
    <s v="No"/>
    <x v="1"/>
    <s v="No"/>
    <n v="0"/>
    <n v="0"/>
    <n v="5"/>
  </r>
  <r>
    <n v="3379"/>
    <x v="147"/>
    <x v="0"/>
    <x v="147"/>
    <x v="1"/>
    <n v="15"/>
    <x v="0"/>
    <s v="Yes"/>
    <x v="0"/>
    <s v="Yes"/>
    <n v="20"/>
    <n v="3"/>
    <n v="62"/>
  </r>
  <r>
    <n v="3380"/>
    <x v="148"/>
    <x v="2"/>
    <x v="148"/>
    <x v="0"/>
    <n v="10"/>
    <x v="1"/>
    <s v="No"/>
    <x v="1"/>
    <s v="Yes"/>
    <n v="20"/>
    <n v="15"/>
    <n v="15"/>
  </r>
  <r>
    <n v="3381"/>
    <x v="149"/>
    <x v="1"/>
    <x v="149"/>
    <x v="1"/>
    <n v="5"/>
    <x v="0"/>
    <s v="No"/>
    <x v="1"/>
    <s v="No"/>
    <n v="0"/>
    <n v="1"/>
    <n v="4"/>
  </r>
  <r>
    <n v="3382"/>
    <x v="150"/>
    <x v="0"/>
    <x v="150"/>
    <x v="0"/>
    <n v="15"/>
    <x v="2"/>
    <s v="Yes"/>
    <x v="0"/>
    <s v="Yes"/>
    <n v="20"/>
    <n v="7"/>
    <n v="58"/>
  </r>
  <r>
    <n v="3383"/>
    <x v="151"/>
    <x v="2"/>
    <x v="151"/>
    <x v="1"/>
    <n v="10"/>
    <x v="0"/>
    <s v="No"/>
    <x v="1"/>
    <s v="Yes"/>
    <n v="20"/>
    <n v="10"/>
    <n v="20"/>
  </r>
  <r>
    <n v="3384"/>
    <x v="152"/>
    <x v="1"/>
    <x v="152"/>
    <x v="0"/>
    <n v="5"/>
    <x v="1"/>
    <s v="No"/>
    <x v="1"/>
    <s v="No"/>
    <n v="0"/>
    <n v="0"/>
    <n v="5"/>
  </r>
  <r>
    <n v="3385"/>
    <x v="153"/>
    <x v="0"/>
    <x v="153"/>
    <x v="1"/>
    <n v="15"/>
    <x v="0"/>
    <s v="Yes"/>
    <x v="0"/>
    <s v="Yes"/>
    <n v="20"/>
    <n v="20"/>
    <n v="45"/>
  </r>
  <r>
    <n v="3386"/>
    <x v="154"/>
    <x v="2"/>
    <x v="154"/>
    <x v="0"/>
    <n v="10"/>
    <x v="2"/>
    <s v="No"/>
    <x v="1"/>
    <s v="Yes"/>
    <n v="20"/>
    <n v="15"/>
    <n v="15"/>
  </r>
  <r>
    <n v="3387"/>
    <x v="155"/>
    <x v="1"/>
    <x v="155"/>
    <x v="1"/>
    <n v="5"/>
    <x v="0"/>
    <s v="No"/>
    <x v="1"/>
    <s v="No"/>
    <n v="0"/>
    <n v="1"/>
    <n v="4"/>
  </r>
  <r>
    <n v="3388"/>
    <x v="156"/>
    <x v="0"/>
    <x v="156"/>
    <x v="0"/>
    <n v="15"/>
    <x v="1"/>
    <s v="Yes"/>
    <x v="0"/>
    <s v="Yes"/>
    <n v="20"/>
    <n v="3"/>
    <n v="62"/>
  </r>
  <r>
    <n v="3389"/>
    <x v="157"/>
    <x v="2"/>
    <x v="157"/>
    <x v="1"/>
    <n v="10"/>
    <x v="0"/>
    <s v="No"/>
    <x v="1"/>
    <s v="Yes"/>
    <n v="20"/>
    <n v="10"/>
    <n v="20"/>
  </r>
  <r>
    <n v="3390"/>
    <x v="158"/>
    <x v="1"/>
    <x v="158"/>
    <x v="0"/>
    <n v="5"/>
    <x v="2"/>
    <s v="No"/>
    <x v="1"/>
    <s v="No"/>
    <n v="0"/>
    <n v="0"/>
    <n v="5"/>
  </r>
  <r>
    <n v="3391"/>
    <x v="58"/>
    <x v="0"/>
    <x v="159"/>
    <x v="1"/>
    <n v="15"/>
    <x v="0"/>
    <s v="Yes"/>
    <x v="0"/>
    <s v="Yes"/>
    <n v="20"/>
    <n v="15"/>
    <n v="50"/>
  </r>
  <r>
    <n v="3392"/>
    <x v="159"/>
    <x v="2"/>
    <x v="160"/>
    <x v="0"/>
    <n v="10"/>
    <x v="1"/>
    <s v="No"/>
    <x v="1"/>
    <s v="Yes"/>
    <n v="20"/>
    <n v="15"/>
    <n v="15"/>
  </r>
  <r>
    <n v="3393"/>
    <x v="160"/>
    <x v="1"/>
    <x v="161"/>
    <x v="1"/>
    <n v="5"/>
    <x v="0"/>
    <s v="No"/>
    <x v="1"/>
    <s v="No"/>
    <n v="0"/>
    <n v="1"/>
    <n v="4"/>
  </r>
  <r>
    <n v="3394"/>
    <x v="161"/>
    <x v="0"/>
    <x v="162"/>
    <x v="0"/>
    <n v="15"/>
    <x v="2"/>
    <s v="Yes"/>
    <x v="0"/>
    <s v="Yes"/>
    <n v="20"/>
    <n v="7"/>
    <n v="58"/>
  </r>
  <r>
    <n v="3395"/>
    <x v="162"/>
    <x v="2"/>
    <x v="163"/>
    <x v="1"/>
    <n v="10"/>
    <x v="0"/>
    <s v="No"/>
    <x v="1"/>
    <s v="Yes"/>
    <n v="20"/>
    <n v="10"/>
    <n v="20"/>
  </r>
  <r>
    <n v="3396"/>
    <x v="163"/>
    <x v="1"/>
    <x v="164"/>
    <x v="0"/>
    <n v="5"/>
    <x v="1"/>
    <s v="No"/>
    <x v="1"/>
    <s v="No"/>
    <n v="0"/>
    <n v="0"/>
    <n v="5"/>
  </r>
  <r>
    <n v="3397"/>
    <x v="90"/>
    <x v="0"/>
    <x v="165"/>
    <x v="1"/>
    <n v="15"/>
    <x v="0"/>
    <s v="Yes"/>
    <x v="0"/>
    <s v="Yes"/>
    <n v="20"/>
    <n v="20"/>
    <n v="45"/>
  </r>
  <r>
    <n v="3398"/>
    <x v="164"/>
    <x v="2"/>
    <x v="166"/>
    <x v="0"/>
    <n v="10"/>
    <x v="2"/>
    <s v="No"/>
    <x v="1"/>
    <s v="Yes"/>
    <n v="20"/>
    <n v="15"/>
    <n v="15"/>
  </r>
  <r>
    <n v="3399"/>
    <x v="165"/>
    <x v="1"/>
    <x v="167"/>
    <x v="1"/>
    <n v="5"/>
    <x v="0"/>
    <s v="No"/>
    <x v="1"/>
    <s v="No"/>
    <n v="0"/>
    <n v="1"/>
    <n v="4"/>
  </r>
  <r>
    <n v="3400"/>
    <x v="166"/>
    <x v="0"/>
    <x v="168"/>
    <x v="0"/>
    <n v="15"/>
    <x v="1"/>
    <s v="Yes"/>
    <x v="0"/>
    <s v="Yes"/>
    <n v="20"/>
    <n v="5"/>
    <n v="60"/>
  </r>
  <r>
    <n v="3401"/>
    <x v="167"/>
    <x v="2"/>
    <x v="169"/>
    <x v="1"/>
    <n v="10"/>
    <x v="0"/>
    <s v="No"/>
    <x v="1"/>
    <s v="Yes"/>
    <n v="20"/>
    <n v="10"/>
    <n v="20"/>
  </r>
  <r>
    <n v="3402"/>
    <x v="168"/>
    <x v="1"/>
    <x v="170"/>
    <x v="0"/>
    <n v="5"/>
    <x v="2"/>
    <s v="No"/>
    <x v="1"/>
    <s v="No"/>
    <n v="0"/>
    <n v="0"/>
    <n v="5"/>
  </r>
  <r>
    <n v="3403"/>
    <x v="169"/>
    <x v="0"/>
    <x v="171"/>
    <x v="1"/>
    <n v="15"/>
    <x v="0"/>
    <s v="Yes"/>
    <x v="0"/>
    <s v="Yes"/>
    <n v="20"/>
    <n v="3"/>
    <n v="62"/>
  </r>
  <r>
    <n v="3404"/>
    <x v="170"/>
    <x v="2"/>
    <x v="172"/>
    <x v="0"/>
    <n v="10"/>
    <x v="1"/>
    <s v="No"/>
    <x v="1"/>
    <s v="Yes"/>
    <n v="20"/>
    <n v="15"/>
    <n v="15"/>
  </r>
  <r>
    <n v="3405"/>
    <x v="171"/>
    <x v="1"/>
    <x v="173"/>
    <x v="1"/>
    <n v="5"/>
    <x v="0"/>
    <s v="No"/>
    <x v="1"/>
    <s v="No"/>
    <n v="0"/>
    <n v="1"/>
    <n v="4"/>
  </r>
  <r>
    <n v="3406"/>
    <x v="172"/>
    <x v="1"/>
    <x v="174"/>
    <x v="0"/>
    <n v="5"/>
    <x v="0"/>
    <s v="No"/>
    <x v="1"/>
    <s v="No"/>
    <n v="0"/>
    <n v="0"/>
    <n v="5"/>
  </r>
  <r>
    <n v="3407"/>
    <x v="173"/>
    <x v="0"/>
    <x v="175"/>
    <x v="1"/>
    <n v="15"/>
    <x v="2"/>
    <s v="Yes"/>
    <x v="0"/>
    <s v="Yes"/>
    <n v="20"/>
    <n v="7"/>
    <n v="58"/>
  </r>
  <r>
    <n v="3408"/>
    <x v="174"/>
    <x v="2"/>
    <x v="176"/>
    <x v="0"/>
    <n v="10"/>
    <x v="1"/>
    <s v="No"/>
    <x v="1"/>
    <s v="Yes"/>
    <n v="20"/>
    <n v="10"/>
    <n v="20"/>
  </r>
  <r>
    <n v="3409"/>
    <x v="175"/>
    <x v="1"/>
    <x v="177"/>
    <x v="1"/>
    <n v="5"/>
    <x v="2"/>
    <s v="No"/>
    <x v="1"/>
    <s v="No"/>
    <n v="0"/>
    <n v="1"/>
    <n v="4"/>
  </r>
  <r>
    <n v="3410"/>
    <x v="176"/>
    <x v="0"/>
    <x v="178"/>
    <x v="0"/>
    <n v="15"/>
    <x v="0"/>
    <s v="Yes"/>
    <x v="0"/>
    <s v="Yes"/>
    <n v="20"/>
    <n v="15"/>
    <n v="50"/>
  </r>
  <r>
    <n v="3411"/>
    <x v="177"/>
    <x v="2"/>
    <x v="179"/>
    <x v="1"/>
    <n v="10"/>
    <x v="0"/>
    <s v="No"/>
    <x v="1"/>
    <s v="Yes"/>
    <n v="20"/>
    <n v="5"/>
    <n v="25"/>
  </r>
  <r>
    <n v="3412"/>
    <x v="178"/>
    <x v="1"/>
    <x v="180"/>
    <x v="0"/>
    <n v="5"/>
    <x v="1"/>
    <s v="No"/>
    <x v="1"/>
    <s v="No"/>
    <n v="0"/>
    <n v="0"/>
    <n v="5"/>
  </r>
  <r>
    <n v="3413"/>
    <x v="179"/>
    <x v="0"/>
    <x v="181"/>
    <x v="1"/>
    <n v="15"/>
    <x v="2"/>
    <s v="Yes"/>
    <x v="0"/>
    <s v="Yes"/>
    <n v="20"/>
    <n v="20"/>
    <n v="45"/>
  </r>
  <r>
    <n v="3414"/>
    <x v="180"/>
    <x v="2"/>
    <x v="182"/>
    <x v="0"/>
    <n v="10"/>
    <x v="2"/>
    <s v="No"/>
    <x v="1"/>
    <s v="Yes"/>
    <n v="20"/>
    <n v="12"/>
    <n v="18"/>
  </r>
  <r>
    <n v="3415"/>
    <x v="181"/>
    <x v="1"/>
    <x v="183"/>
    <x v="1"/>
    <n v="5"/>
    <x v="0"/>
    <s v="No"/>
    <x v="1"/>
    <s v="No"/>
    <n v="0"/>
    <n v="2"/>
    <n v="3"/>
  </r>
  <r>
    <n v="3416"/>
    <x v="182"/>
    <x v="0"/>
    <x v="184"/>
    <x v="0"/>
    <n v="15"/>
    <x v="1"/>
    <s v="Yes"/>
    <x v="0"/>
    <s v="Yes"/>
    <n v="20"/>
    <n v="5"/>
    <n v="60"/>
  </r>
  <r>
    <n v="3417"/>
    <x v="183"/>
    <x v="2"/>
    <x v="185"/>
    <x v="1"/>
    <n v="10"/>
    <x v="0"/>
    <s v="No"/>
    <x v="1"/>
    <s v="Yes"/>
    <n v="20"/>
    <n v="10"/>
    <n v="20"/>
  </r>
  <r>
    <n v="3418"/>
    <x v="184"/>
    <x v="1"/>
    <x v="186"/>
    <x v="0"/>
    <n v="5"/>
    <x v="2"/>
    <s v="No"/>
    <x v="1"/>
    <s v="No"/>
    <n v="0"/>
    <n v="0"/>
    <n v="5"/>
  </r>
  <r>
    <n v="3419"/>
    <x v="185"/>
    <x v="0"/>
    <x v="187"/>
    <x v="1"/>
    <n v="15"/>
    <x v="0"/>
    <s v="Yes"/>
    <x v="0"/>
    <s v="Yes"/>
    <n v="20"/>
    <n v="3"/>
    <n v="62"/>
  </r>
  <r>
    <n v="3420"/>
    <x v="186"/>
    <x v="2"/>
    <x v="188"/>
    <x v="0"/>
    <n v="10"/>
    <x v="1"/>
    <s v="No"/>
    <x v="1"/>
    <s v="Yes"/>
    <n v="20"/>
    <n v="15"/>
    <n v="15"/>
  </r>
  <r>
    <n v="3421"/>
    <x v="15"/>
    <x v="1"/>
    <x v="189"/>
    <x v="1"/>
    <n v="5"/>
    <x v="0"/>
    <s v="No"/>
    <x v="1"/>
    <s v="No"/>
    <n v="0"/>
    <n v="1"/>
    <n v="4"/>
  </r>
  <r>
    <n v="3422"/>
    <x v="187"/>
    <x v="0"/>
    <x v="190"/>
    <x v="0"/>
    <n v="15"/>
    <x v="2"/>
    <s v="Yes"/>
    <x v="0"/>
    <s v="Yes"/>
    <n v="20"/>
    <n v="7"/>
    <n v="58"/>
  </r>
  <r>
    <n v="3423"/>
    <x v="188"/>
    <x v="2"/>
    <x v="191"/>
    <x v="1"/>
    <n v="10"/>
    <x v="0"/>
    <s v="No"/>
    <x v="1"/>
    <s v="Yes"/>
    <n v="20"/>
    <n v="10"/>
    <n v="20"/>
  </r>
  <r>
    <n v="3424"/>
    <x v="14"/>
    <x v="1"/>
    <x v="192"/>
    <x v="0"/>
    <n v="5"/>
    <x v="1"/>
    <s v="No"/>
    <x v="1"/>
    <s v="No"/>
    <n v="0"/>
    <n v="0"/>
    <n v="5"/>
  </r>
  <r>
    <n v="3425"/>
    <x v="189"/>
    <x v="0"/>
    <x v="193"/>
    <x v="1"/>
    <n v="15"/>
    <x v="0"/>
    <s v="Yes"/>
    <x v="0"/>
    <s v="Yes"/>
    <n v="20"/>
    <n v="20"/>
    <n v="45"/>
  </r>
  <r>
    <n v="3426"/>
    <x v="167"/>
    <x v="2"/>
    <x v="194"/>
    <x v="0"/>
    <n v="10"/>
    <x v="2"/>
    <s v="No"/>
    <x v="1"/>
    <s v="Yes"/>
    <n v="20"/>
    <n v="15"/>
    <n v="15"/>
  </r>
  <r>
    <n v="3427"/>
    <x v="190"/>
    <x v="1"/>
    <x v="195"/>
    <x v="1"/>
    <n v="5"/>
    <x v="0"/>
    <s v="No"/>
    <x v="1"/>
    <s v="No"/>
    <n v="0"/>
    <n v="1"/>
    <n v="4"/>
  </r>
  <r>
    <n v="3428"/>
    <x v="191"/>
    <x v="0"/>
    <x v="196"/>
    <x v="0"/>
    <n v="15"/>
    <x v="1"/>
    <s v="Yes"/>
    <x v="0"/>
    <s v="Yes"/>
    <n v="20"/>
    <n v="3"/>
    <n v="62"/>
  </r>
  <r>
    <n v="3429"/>
    <x v="192"/>
    <x v="2"/>
    <x v="197"/>
    <x v="1"/>
    <n v="10"/>
    <x v="0"/>
    <s v="No"/>
    <x v="1"/>
    <s v="Yes"/>
    <n v="20"/>
    <n v="10"/>
    <n v="20"/>
  </r>
  <r>
    <n v="3430"/>
    <x v="193"/>
    <x v="1"/>
    <x v="198"/>
    <x v="0"/>
    <n v="5"/>
    <x v="2"/>
    <s v="No"/>
    <x v="1"/>
    <s v="No"/>
    <n v="0"/>
    <n v="0"/>
    <n v="5"/>
  </r>
  <r>
    <n v="3431"/>
    <x v="194"/>
    <x v="0"/>
    <x v="199"/>
    <x v="1"/>
    <n v="15"/>
    <x v="0"/>
    <s v="Yes"/>
    <x v="0"/>
    <s v="Yes"/>
    <n v="20"/>
    <n v="15"/>
    <n v="50"/>
  </r>
  <r>
    <n v="3432"/>
    <x v="195"/>
    <x v="2"/>
    <x v="200"/>
    <x v="0"/>
    <n v="10"/>
    <x v="1"/>
    <s v="No"/>
    <x v="1"/>
    <s v="Yes"/>
    <n v="20"/>
    <n v="15"/>
    <n v="15"/>
  </r>
  <r>
    <n v="3433"/>
    <x v="196"/>
    <x v="1"/>
    <x v="201"/>
    <x v="1"/>
    <n v="5"/>
    <x v="0"/>
    <s v="No"/>
    <x v="1"/>
    <s v="No"/>
    <n v="0"/>
    <n v="1"/>
    <n v="4"/>
  </r>
  <r>
    <n v="3434"/>
    <x v="197"/>
    <x v="0"/>
    <x v="202"/>
    <x v="0"/>
    <n v="15"/>
    <x v="2"/>
    <s v="Yes"/>
    <x v="0"/>
    <s v="Yes"/>
    <n v="20"/>
    <n v="7"/>
    <n v="58"/>
  </r>
  <r>
    <n v="3435"/>
    <x v="198"/>
    <x v="2"/>
    <x v="203"/>
    <x v="1"/>
    <n v="10"/>
    <x v="0"/>
    <s v="No"/>
    <x v="1"/>
    <s v="Yes"/>
    <n v="20"/>
    <n v="10"/>
    <n v="20"/>
  </r>
  <r>
    <n v="3436"/>
    <x v="199"/>
    <x v="1"/>
    <x v="204"/>
    <x v="0"/>
    <n v="5"/>
    <x v="0"/>
    <s v="No"/>
    <x v="1"/>
    <s v="No"/>
    <n v="0"/>
    <n v="0"/>
    <n v="5"/>
  </r>
  <r>
    <n v="3437"/>
    <x v="200"/>
    <x v="0"/>
    <x v="205"/>
    <x v="1"/>
    <n v="15"/>
    <x v="2"/>
    <s v="Yes"/>
    <x v="0"/>
    <s v="Yes"/>
    <n v="20"/>
    <n v="7"/>
    <n v="58"/>
  </r>
  <r>
    <n v="3438"/>
    <x v="201"/>
    <x v="2"/>
    <x v="206"/>
    <x v="0"/>
    <n v="10"/>
    <x v="1"/>
    <s v="No"/>
    <x v="1"/>
    <s v="Yes"/>
    <n v="20"/>
    <n v="10"/>
    <n v="20"/>
  </r>
  <r>
    <n v="3439"/>
    <x v="202"/>
    <x v="1"/>
    <x v="207"/>
    <x v="1"/>
    <n v="5"/>
    <x v="2"/>
    <s v="No"/>
    <x v="1"/>
    <s v="No"/>
    <n v="0"/>
    <n v="1"/>
    <n v="4"/>
  </r>
  <r>
    <n v="3440"/>
    <x v="203"/>
    <x v="0"/>
    <x v="208"/>
    <x v="0"/>
    <n v="15"/>
    <x v="0"/>
    <s v="Yes"/>
    <x v="0"/>
    <s v="Yes"/>
    <n v="20"/>
    <n v="15"/>
    <n v="50"/>
  </r>
  <r>
    <n v="3441"/>
    <x v="204"/>
    <x v="2"/>
    <x v="209"/>
    <x v="1"/>
    <n v="10"/>
    <x v="0"/>
    <s v="No"/>
    <x v="1"/>
    <s v="Yes"/>
    <n v="20"/>
    <n v="5"/>
    <n v="25"/>
  </r>
  <r>
    <n v="3442"/>
    <x v="205"/>
    <x v="1"/>
    <x v="210"/>
    <x v="0"/>
    <n v="5"/>
    <x v="1"/>
    <s v="No"/>
    <x v="1"/>
    <s v="No"/>
    <n v="0"/>
    <n v="0"/>
    <n v="5"/>
  </r>
  <r>
    <n v="3443"/>
    <x v="206"/>
    <x v="0"/>
    <x v="211"/>
    <x v="1"/>
    <n v="15"/>
    <x v="2"/>
    <s v="Yes"/>
    <x v="0"/>
    <s v="Yes"/>
    <n v="20"/>
    <n v="20"/>
    <n v="45"/>
  </r>
  <r>
    <n v="3444"/>
    <x v="207"/>
    <x v="2"/>
    <x v="212"/>
    <x v="0"/>
    <n v="10"/>
    <x v="2"/>
    <s v="No"/>
    <x v="1"/>
    <s v="Yes"/>
    <n v="20"/>
    <n v="12"/>
    <n v="18"/>
  </r>
  <r>
    <n v="3445"/>
    <x v="37"/>
    <x v="1"/>
    <x v="213"/>
    <x v="1"/>
    <n v="5"/>
    <x v="0"/>
    <s v="No"/>
    <x v="1"/>
    <s v="No"/>
    <n v="0"/>
    <n v="2"/>
    <n v="3"/>
  </r>
  <r>
    <n v="3446"/>
    <x v="208"/>
    <x v="0"/>
    <x v="214"/>
    <x v="0"/>
    <n v="15"/>
    <x v="1"/>
    <s v="Yes"/>
    <x v="0"/>
    <s v="Yes"/>
    <n v="20"/>
    <n v="5"/>
    <n v="60"/>
  </r>
  <r>
    <n v="3447"/>
    <x v="209"/>
    <x v="2"/>
    <x v="215"/>
    <x v="1"/>
    <n v="10"/>
    <x v="0"/>
    <s v="No"/>
    <x v="1"/>
    <s v="Yes"/>
    <n v="20"/>
    <n v="10"/>
    <n v="20"/>
  </r>
  <r>
    <n v="3448"/>
    <x v="210"/>
    <x v="1"/>
    <x v="216"/>
    <x v="0"/>
    <n v="5"/>
    <x v="2"/>
    <s v="No"/>
    <x v="1"/>
    <s v="No"/>
    <n v="0"/>
    <n v="0"/>
    <n v="5"/>
  </r>
  <r>
    <n v="3449"/>
    <x v="211"/>
    <x v="0"/>
    <x v="217"/>
    <x v="1"/>
    <n v="15"/>
    <x v="0"/>
    <s v="Yes"/>
    <x v="0"/>
    <s v="Yes"/>
    <n v="20"/>
    <n v="3"/>
    <n v="62"/>
  </r>
  <r>
    <n v="3450"/>
    <x v="212"/>
    <x v="2"/>
    <x v="218"/>
    <x v="0"/>
    <n v="10"/>
    <x v="1"/>
    <s v="No"/>
    <x v="1"/>
    <s v="Yes"/>
    <n v="20"/>
    <n v="15"/>
    <n v="15"/>
  </r>
  <r>
    <n v="3451"/>
    <x v="213"/>
    <x v="1"/>
    <x v="219"/>
    <x v="1"/>
    <n v="5"/>
    <x v="0"/>
    <s v="No"/>
    <x v="1"/>
    <s v="No"/>
    <n v="0"/>
    <n v="1"/>
    <n v="4"/>
  </r>
  <r>
    <n v="3452"/>
    <x v="191"/>
    <x v="0"/>
    <x v="220"/>
    <x v="0"/>
    <n v="15"/>
    <x v="2"/>
    <s v="Yes"/>
    <x v="0"/>
    <s v="Yes"/>
    <n v="20"/>
    <n v="7"/>
    <n v="58"/>
  </r>
  <r>
    <n v="3453"/>
    <x v="45"/>
    <x v="2"/>
    <x v="221"/>
    <x v="1"/>
    <n v="10"/>
    <x v="0"/>
    <s v="No"/>
    <x v="1"/>
    <s v="Yes"/>
    <n v="20"/>
    <n v="10"/>
    <n v="20"/>
  </r>
  <r>
    <n v="3454"/>
    <x v="214"/>
    <x v="1"/>
    <x v="222"/>
    <x v="0"/>
    <n v="5"/>
    <x v="1"/>
    <s v="No"/>
    <x v="1"/>
    <s v="No"/>
    <n v="0"/>
    <n v="0"/>
    <n v="5"/>
  </r>
  <r>
    <n v="3455"/>
    <x v="215"/>
    <x v="0"/>
    <x v="223"/>
    <x v="1"/>
    <n v="15"/>
    <x v="0"/>
    <s v="Yes"/>
    <x v="0"/>
    <s v="Yes"/>
    <n v="20"/>
    <n v="20"/>
    <n v="45"/>
  </r>
  <r>
    <n v="3456"/>
    <x v="216"/>
    <x v="2"/>
    <x v="224"/>
    <x v="0"/>
    <n v="10"/>
    <x v="2"/>
    <s v="No"/>
    <x v="1"/>
    <s v="Yes"/>
    <n v="20"/>
    <n v="15"/>
    <n v="15"/>
  </r>
  <r>
    <n v="3457"/>
    <x v="217"/>
    <x v="1"/>
    <x v="225"/>
    <x v="1"/>
    <n v="5"/>
    <x v="0"/>
    <s v="No"/>
    <x v="1"/>
    <s v="No"/>
    <n v="0"/>
    <n v="1"/>
    <n v="4"/>
  </r>
  <r>
    <n v="3458"/>
    <x v="218"/>
    <x v="0"/>
    <x v="226"/>
    <x v="0"/>
    <n v="15"/>
    <x v="1"/>
    <s v="Yes"/>
    <x v="0"/>
    <s v="Yes"/>
    <n v="20"/>
    <n v="3"/>
    <n v="62"/>
  </r>
  <r>
    <n v="3459"/>
    <x v="219"/>
    <x v="2"/>
    <x v="227"/>
    <x v="1"/>
    <n v="10"/>
    <x v="0"/>
    <s v="No"/>
    <x v="1"/>
    <s v="Yes"/>
    <n v="20"/>
    <n v="10"/>
    <n v="20"/>
  </r>
  <r>
    <n v="3460"/>
    <x v="127"/>
    <x v="1"/>
    <x v="228"/>
    <x v="0"/>
    <n v="5"/>
    <x v="2"/>
    <s v="No"/>
    <x v="1"/>
    <s v="No"/>
    <n v="0"/>
    <n v="0"/>
    <n v="5"/>
  </r>
  <r>
    <n v="3461"/>
    <x v="220"/>
    <x v="0"/>
    <x v="229"/>
    <x v="1"/>
    <n v="15"/>
    <x v="0"/>
    <s v="Yes"/>
    <x v="0"/>
    <s v="Yes"/>
    <n v="20"/>
    <n v="15"/>
    <n v="50"/>
  </r>
  <r>
    <n v="3462"/>
    <x v="221"/>
    <x v="2"/>
    <x v="230"/>
    <x v="0"/>
    <n v="10"/>
    <x v="1"/>
    <s v="No"/>
    <x v="1"/>
    <s v="Yes"/>
    <n v="20"/>
    <n v="15"/>
    <n v="15"/>
  </r>
  <r>
    <n v="3463"/>
    <x v="222"/>
    <x v="1"/>
    <x v="231"/>
    <x v="1"/>
    <n v="5"/>
    <x v="0"/>
    <s v="No"/>
    <x v="1"/>
    <s v="No"/>
    <n v="0"/>
    <n v="1"/>
    <n v="4"/>
  </r>
  <r>
    <n v="3464"/>
    <x v="223"/>
    <x v="0"/>
    <x v="232"/>
    <x v="0"/>
    <n v="15"/>
    <x v="2"/>
    <s v="Yes"/>
    <x v="0"/>
    <s v="Yes"/>
    <n v="20"/>
    <n v="7"/>
    <n v="58"/>
  </r>
  <r>
    <n v="3465"/>
    <x v="224"/>
    <x v="2"/>
    <x v="233"/>
    <x v="1"/>
    <n v="10"/>
    <x v="0"/>
    <s v="No"/>
    <x v="1"/>
    <s v="Yes"/>
    <n v="20"/>
    <n v="10"/>
    <n v="20"/>
  </r>
  <r>
    <n v="3466"/>
    <x v="225"/>
    <x v="1"/>
    <x v="234"/>
    <x v="0"/>
    <n v="5"/>
    <x v="1"/>
    <s v="No"/>
    <x v="1"/>
    <s v="No"/>
    <n v="0"/>
    <n v="0"/>
    <n v="5"/>
  </r>
  <r>
    <n v="3467"/>
    <x v="226"/>
    <x v="0"/>
    <x v="235"/>
    <x v="1"/>
    <n v="15"/>
    <x v="0"/>
    <s v="Yes"/>
    <x v="0"/>
    <s v="Yes"/>
    <n v="20"/>
    <n v="15"/>
    <n v="50"/>
  </r>
  <r>
    <n v="3468"/>
    <x v="227"/>
    <x v="2"/>
    <x v="236"/>
    <x v="0"/>
    <n v="10"/>
    <x v="2"/>
    <s v="No"/>
    <x v="1"/>
    <s v="Yes"/>
    <n v="20"/>
    <n v="12"/>
    <n v="18"/>
  </r>
  <r>
    <n v="3469"/>
    <x v="228"/>
    <x v="1"/>
    <x v="237"/>
    <x v="1"/>
    <n v="5"/>
    <x v="0"/>
    <s v="No"/>
    <x v="1"/>
    <s v="No"/>
    <n v="0"/>
    <n v="2"/>
    <n v="3"/>
  </r>
  <r>
    <n v="3470"/>
    <x v="229"/>
    <x v="0"/>
    <x v="238"/>
    <x v="0"/>
    <n v="15"/>
    <x v="1"/>
    <s v="Yes"/>
    <x v="0"/>
    <s v="Yes"/>
    <n v="20"/>
    <n v="5"/>
    <n v="60"/>
  </r>
  <r>
    <n v="3471"/>
    <x v="230"/>
    <x v="2"/>
    <x v="239"/>
    <x v="1"/>
    <n v="10"/>
    <x v="0"/>
    <s v="No"/>
    <x v="1"/>
    <s v="Yes"/>
    <n v="20"/>
    <n v="10"/>
    <n v="20"/>
  </r>
  <r>
    <n v="3472"/>
    <x v="231"/>
    <x v="1"/>
    <x v="240"/>
    <x v="0"/>
    <n v="5"/>
    <x v="2"/>
    <s v="No"/>
    <x v="1"/>
    <s v="No"/>
    <n v="0"/>
    <n v="0"/>
    <n v="5"/>
  </r>
  <r>
    <n v="3473"/>
    <x v="140"/>
    <x v="0"/>
    <x v="241"/>
    <x v="1"/>
    <n v="15"/>
    <x v="0"/>
    <s v="Yes"/>
    <x v="0"/>
    <s v="Yes"/>
    <n v="20"/>
    <n v="3"/>
    <n v="62"/>
  </r>
  <r>
    <n v="3474"/>
    <x v="232"/>
    <x v="2"/>
    <x v="242"/>
    <x v="0"/>
    <n v="10"/>
    <x v="1"/>
    <s v="No"/>
    <x v="1"/>
    <s v="Yes"/>
    <n v="20"/>
    <n v="15"/>
    <n v="15"/>
  </r>
  <r>
    <n v="3475"/>
    <x v="233"/>
    <x v="1"/>
    <x v="243"/>
    <x v="1"/>
    <n v="5"/>
    <x v="0"/>
    <s v="No"/>
    <x v="1"/>
    <s v="No"/>
    <n v="0"/>
    <n v="1"/>
    <n v="4"/>
  </r>
  <r>
    <n v="3476"/>
    <x v="234"/>
    <x v="0"/>
    <x v="244"/>
    <x v="0"/>
    <n v="15"/>
    <x v="2"/>
    <s v="Yes"/>
    <x v="0"/>
    <s v="Yes"/>
    <n v="20"/>
    <n v="7"/>
    <n v="58"/>
  </r>
  <r>
    <n v="3477"/>
    <x v="235"/>
    <x v="2"/>
    <x v="245"/>
    <x v="1"/>
    <n v="10"/>
    <x v="0"/>
    <s v="No"/>
    <x v="1"/>
    <s v="Yes"/>
    <n v="20"/>
    <n v="10"/>
    <n v="20"/>
  </r>
  <r>
    <n v="3478"/>
    <x v="236"/>
    <x v="1"/>
    <x v="246"/>
    <x v="0"/>
    <n v="5"/>
    <x v="1"/>
    <s v="No"/>
    <x v="1"/>
    <s v="No"/>
    <n v="0"/>
    <n v="0"/>
    <n v="5"/>
  </r>
  <r>
    <n v="3479"/>
    <x v="237"/>
    <x v="0"/>
    <x v="247"/>
    <x v="1"/>
    <n v="15"/>
    <x v="0"/>
    <s v="Yes"/>
    <x v="0"/>
    <s v="Yes"/>
    <n v="20"/>
    <n v="20"/>
    <n v="45"/>
  </r>
  <r>
    <n v="3480"/>
    <x v="238"/>
    <x v="2"/>
    <x v="248"/>
    <x v="0"/>
    <n v="10"/>
    <x v="2"/>
    <s v="No"/>
    <x v="1"/>
    <s v="Yes"/>
    <n v="20"/>
    <n v="15"/>
    <n v="15"/>
  </r>
  <r>
    <n v="3481"/>
    <x v="239"/>
    <x v="1"/>
    <x v="249"/>
    <x v="1"/>
    <n v="5"/>
    <x v="0"/>
    <s v="No"/>
    <x v="1"/>
    <s v="No"/>
    <n v="0"/>
    <n v="1"/>
    <n v="4"/>
  </r>
  <r>
    <n v="3482"/>
    <x v="240"/>
    <x v="0"/>
    <x v="250"/>
    <x v="0"/>
    <n v="15"/>
    <x v="1"/>
    <s v="Yes"/>
    <x v="0"/>
    <s v="Yes"/>
    <n v="20"/>
    <n v="3"/>
    <n v="62"/>
  </r>
  <r>
    <n v="3483"/>
    <x v="241"/>
    <x v="2"/>
    <x v="251"/>
    <x v="1"/>
    <n v="10"/>
    <x v="0"/>
    <s v="No"/>
    <x v="1"/>
    <s v="Yes"/>
    <n v="20"/>
    <n v="10"/>
    <n v="20"/>
  </r>
  <r>
    <n v="3484"/>
    <x v="242"/>
    <x v="1"/>
    <x v="252"/>
    <x v="0"/>
    <n v="5"/>
    <x v="2"/>
    <s v="No"/>
    <x v="1"/>
    <s v="No"/>
    <n v="0"/>
    <n v="0"/>
    <n v="5"/>
  </r>
  <r>
    <n v="3485"/>
    <x v="243"/>
    <x v="0"/>
    <x v="253"/>
    <x v="1"/>
    <n v="15"/>
    <x v="0"/>
    <s v="Yes"/>
    <x v="0"/>
    <s v="Yes"/>
    <n v="20"/>
    <n v="15"/>
    <n v="50"/>
  </r>
  <r>
    <n v="3486"/>
    <x v="244"/>
    <x v="1"/>
    <x v="254"/>
    <x v="0"/>
    <n v="5"/>
    <x v="0"/>
    <s v="No"/>
    <x v="1"/>
    <s v="No"/>
    <n v="0"/>
    <n v="0"/>
    <n v="5"/>
  </r>
  <r>
    <n v="3487"/>
    <x v="245"/>
    <x v="0"/>
    <x v="255"/>
    <x v="1"/>
    <n v="15"/>
    <x v="2"/>
    <s v="Yes"/>
    <x v="0"/>
    <s v="Yes"/>
    <n v="20"/>
    <n v="7"/>
    <n v="58"/>
  </r>
  <r>
    <n v="3488"/>
    <x v="246"/>
    <x v="2"/>
    <x v="256"/>
    <x v="0"/>
    <n v="10"/>
    <x v="1"/>
    <s v="No"/>
    <x v="1"/>
    <s v="Yes"/>
    <n v="20"/>
    <n v="10"/>
    <n v="20"/>
  </r>
  <r>
    <n v="3489"/>
    <x v="247"/>
    <x v="1"/>
    <x v="257"/>
    <x v="1"/>
    <n v="5"/>
    <x v="2"/>
    <s v="No"/>
    <x v="1"/>
    <s v="No"/>
    <n v="0"/>
    <n v="1"/>
    <n v="4"/>
  </r>
  <r>
    <n v="3490"/>
    <x v="248"/>
    <x v="0"/>
    <x v="258"/>
    <x v="0"/>
    <n v="15"/>
    <x v="0"/>
    <s v="Yes"/>
    <x v="0"/>
    <s v="Yes"/>
    <n v="20"/>
    <n v="15"/>
    <n v="50"/>
  </r>
  <r>
    <n v="3491"/>
    <x v="249"/>
    <x v="2"/>
    <x v="259"/>
    <x v="1"/>
    <n v="10"/>
    <x v="0"/>
    <s v="No"/>
    <x v="1"/>
    <s v="Yes"/>
    <n v="20"/>
    <n v="5"/>
    <n v="25"/>
  </r>
  <r>
    <n v="3492"/>
    <x v="250"/>
    <x v="1"/>
    <x v="260"/>
    <x v="0"/>
    <n v="5"/>
    <x v="1"/>
    <s v="No"/>
    <x v="1"/>
    <s v="No"/>
    <n v="0"/>
    <n v="0"/>
    <n v="5"/>
  </r>
  <r>
    <n v="3493"/>
    <x v="251"/>
    <x v="0"/>
    <x v="261"/>
    <x v="1"/>
    <n v="15"/>
    <x v="2"/>
    <s v="Yes"/>
    <x v="0"/>
    <s v="Yes"/>
    <n v="20"/>
    <n v="20"/>
    <n v="45"/>
  </r>
  <r>
    <n v="3494"/>
    <x v="252"/>
    <x v="2"/>
    <x v="262"/>
    <x v="0"/>
    <n v="10"/>
    <x v="2"/>
    <s v="No"/>
    <x v="1"/>
    <s v="Yes"/>
    <n v="20"/>
    <n v="12"/>
    <n v="18"/>
  </r>
  <r>
    <n v="3495"/>
    <x v="253"/>
    <x v="1"/>
    <x v="263"/>
    <x v="1"/>
    <n v="5"/>
    <x v="0"/>
    <s v="No"/>
    <x v="1"/>
    <s v="No"/>
    <n v="0"/>
    <n v="2"/>
    <n v="3"/>
  </r>
  <r>
    <n v="3496"/>
    <x v="254"/>
    <x v="0"/>
    <x v="264"/>
    <x v="0"/>
    <n v="15"/>
    <x v="1"/>
    <s v="Yes"/>
    <x v="0"/>
    <s v="Yes"/>
    <n v="20"/>
    <n v="5"/>
    <n v="60"/>
  </r>
  <r>
    <n v="3497"/>
    <x v="255"/>
    <x v="2"/>
    <x v="265"/>
    <x v="1"/>
    <n v="10"/>
    <x v="0"/>
    <s v="No"/>
    <x v="1"/>
    <s v="Yes"/>
    <n v="20"/>
    <n v="10"/>
    <n v="20"/>
  </r>
  <r>
    <n v="3498"/>
    <x v="256"/>
    <x v="1"/>
    <x v="266"/>
    <x v="0"/>
    <n v="5"/>
    <x v="2"/>
    <s v="No"/>
    <x v="1"/>
    <s v="No"/>
    <n v="0"/>
    <n v="0"/>
    <n v="5"/>
  </r>
  <r>
    <n v="3499"/>
    <x v="257"/>
    <x v="0"/>
    <x v="267"/>
    <x v="1"/>
    <n v="15"/>
    <x v="0"/>
    <s v="Yes"/>
    <x v="0"/>
    <s v="Yes"/>
    <n v="20"/>
    <n v="3"/>
    <n v="62"/>
  </r>
  <r>
    <n v="3500"/>
    <x v="258"/>
    <x v="2"/>
    <x v="268"/>
    <x v="0"/>
    <n v="10"/>
    <x v="1"/>
    <s v="No"/>
    <x v="1"/>
    <s v="Yes"/>
    <n v="20"/>
    <n v="15"/>
    <n v="15"/>
  </r>
  <r>
    <n v="3501"/>
    <x v="259"/>
    <x v="1"/>
    <x v="269"/>
    <x v="1"/>
    <n v="5"/>
    <x v="0"/>
    <s v="No"/>
    <x v="1"/>
    <s v="No"/>
    <n v="0"/>
    <n v="1"/>
    <n v="4"/>
  </r>
  <r>
    <n v="3502"/>
    <x v="260"/>
    <x v="0"/>
    <x v="270"/>
    <x v="0"/>
    <n v="15"/>
    <x v="2"/>
    <s v="Yes"/>
    <x v="0"/>
    <s v="Yes"/>
    <n v="20"/>
    <n v="7"/>
    <n v="58"/>
  </r>
  <r>
    <n v="3503"/>
    <x v="119"/>
    <x v="2"/>
    <x v="271"/>
    <x v="1"/>
    <n v="10"/>
    <x v="0"/>
    <s v="No"/>
    <x v="1"/>
    <s v="Yes"/>
    <n v="20"/>
    <n v="10"/>
    <n v="20"/>
  </r>
  <r>
    <n v="3504"/>
    <x v="261"/>
    <x v="1"/>
    <x v="272"/>
    <x v="0"/>
    <n v="5"/>
    <x v="1"/>
    <s v="No"/>
    <x v="1"/>
    <s v="No"/>
    <n v="0"/>
    <n v="0"/>
    <n v="5"/>
  </r>
  <r>
    <n v="3505"/>
    <x v="262"/>
    <x v="0"/>
    <x v="273"/>
    <x v="1"/>
    <n v="15"/>
    <x v="0"/>
    <s v="Yes"/>
    <x v="0"/>
    <s v="Yes"/>
    <n v="20"/>
    <n v="20"/>
    <n v="45"/>
  </r>
  <r>
    <n v="3506"/>
    <x v="263"/>
    <x v="2"/>
    <x v="274"/>
    <x v="0"/>
    <n v="10"/>
    <x v="2"/>
    <s v="No"/>
    <x v="1"/>
    <s v="Yes"/>
    <n v="20"/>
    <n v="15"/>
    <n v="15"/>
  </r>
  <r>
    <n v="3507"/>
    <x v="264"/>
    <x v="1"/>
    <x v="275"/>
    <x v="1"/>
    <n v="5"/>
    <x v="0"/>
    <s v="No"/>
    <x v="1"/>
    <s v="No"/>
    <n v="0"/>
    <n v="1"/>
    <n v="4"/>
  </r>
  <r>
    <n v="3508"/>
    <x v="265"/>
    <x v="0"/>
    <x v="276"/>
    <x v="0"/>
    <n v="15"/>
    <x v="1"/>
    <s v="Yes"/>
    <x v="0"/>
    <s v="Yes"/>
    <n v="20"/>
    <n v="3"/>
    <n v="62"/>
  </r>
  <r>
    <n v="3509"/>
    <x v="266"/>
    <x v="2"/>
    <x v="277"/>
    <x v="1"/>
    <n v="10"/>
    <x v="0"/>
    <s v="No"/>
    <x v="1"/>
    <s v="Yes"/>
    <n v="20"/>
    <n v="10"/>
    <n v="20"/>
  </r>
  <r>
    <n v="3510"/>
    <x v="267"/>
    <x v="1"/>
    <x v="278"/>
    <x v="0"/>
    <n v="5"/>
    <x v="2"/>
    <s v="No"/>
    <x v="1"/>
    <s v="No"/>
    <n v="0"/>
    <n v="0"/>
    <n v="5"/>
  </r>
  <r>
    <n v="3511"/>
    <x v="268"/>
    <x v="0"/>
    <x v="279"/>
    <x v="1"/>
    <n v="15"/>
    <x v="0"/>
    <s v="Yes"/>
    <x v="0"/>
    <s v="Yes"/>
    <n v="20"/>
    <n v="15"/>
    <n v="50"/>
  </r>
  <r>
    <n v="3512"/>
    <x v="269"/>
    <x v="2"/>
    <x v="280"/>
    <x v="0"/>
    <n v="10"/>
    <x v="1"/>
    <s v="No"/>
    <x v="1"/>
    <s v="Yes"/>
    <n v="20"/>
    <n v="15"/>
    <n v="15"/>
  </r>
  <r>
    <n v="3513"/>
    <x v="270"/>
    <x v="1"/>
    <x v="281"/>
    <x v="1"/>
    <n v="5"/>
    <x v="0"/>
    <s v="No"/>
    <x v="1"/>
    <s v="No"/>
    <n v="0"/>
    <n v="1"/>
    <n v="4"/>
  </r>
  <r>
    <n v="3514"/>
    <x v="271"/>
    <x v="0"/>
    <x v="282"/>
    <x v="0"/>
    <n v="15"/>
    <x v="2"/>
    <s v="Yes"/>
    <x v="0"/>
    <s v="Yes"/>
    <n v="20"/>
    <n v="7"/>
    <n v="58"/>
  </r>
  <r>
    <n v="3515"/>
    <x v="130"/>
    <x v="2"/>
    <x v="283"/>
    <x v="1"/>
    <n v="10"/>
    <x v="0"/>
    <s v="No"/>
    <x v="1"/>
    <s v="Yes"/>
    <n v="20"/>
    <n v="10"/>
    <n v="20"/>
  </r>
  <r>
    <n v="3516"/>
    <x v="131"/>
    <x v="1"/>
    <x v="284"/>
    <x v="0"/>
    <n v="5"/>
    <x v="1"/>
    <s v="No"/>
    <x v="1"/>
    <s v="No"/>
    <n v="0"/>
    <n v="0"/>
    <n v="5"/>
  </r>
  <r>
    <n v="3517"/>
    <x v="181"/>
    <x v="0"/>
    <x v="285"/>
    <x v="1"/>
    <n v="15"/>
    <x v="0"/>
    <s v="Yes"/>
    <x v="0"/>
    <s v="Yes"/>
    <n v="20"/>
    <n v="20"/>
    <n v="45"/>
  </r>
  <r>
    <n v="3518"/>
    <x v="272"/>
    <x v="2"/>
    <x v="286"/>
    <x v="0"/>
    <n v="10"/>
    <x v="2"/>
    <s v="No"/>
    <x v="1"/>
    <s v="Yes"/>
    <n v="20"/>
    <n v="12"/>
    <n v="18"/>
  </r>
  <r>
    <n v="3519"/>
    <x v="273"/>
    <x v="1"/>
    <x v="287"/>
    <x v="1"/>
    <n v="5"/>
    <x v="0"/>
    <s v="No"/>
    <x v="1"/>
    <s v="No"/>
    <n v="0"/>
    <n v="2"/>
    <n v="3"/>
  </r>
  <r>
    <n v="3520"/>
    <x v="274"/>
    <x v="0"/>
    <x v="288"/>
    <x v="0"/>
    <n v="15"/>
    <x v="1"/>
    <s v="Yes"/>
    <x v="0"/>
    <s v="Yes"/>
    <n v="20"/>
    <n v="5"/>
    <n v="60"/>
  </r>
  <r>
    <n v="3521"/>
    <x v="275"/>
    <x v="2"/>
    <x v="289"/>
    <x v="1"/>
    <n v="10"/>
    <x v="0"/>
    <s v="No"/>
    <x v="1"/>
    <s v="Yes"/>
    <n v="20"/>
    <n v="10"/>
    <n v="20"/>
  </r>
  <r>
    <n v="3522"/>
    <x v="276"/>
    <x v="1"/>
    <x v="290"/>
    <x v="0"/>
    <n v="5"/>
    <x v="2"/>
    <s v="No"/>
    <x v="1"/>
    <s v="No"/>
    <n v="0"/>
    <n v="0"/>
    <n v="5"/>
  </r>
  <r>
    <n v="3523"/>
    <x v="277"/>
    <x v="0"/>
    <x v="291"/>
    <x v="1"/>
    <n v="15"/>
    <x v="0"/>
    <s v="Yes"/>
    <x v="0"/>
    <s v="Yes"/>
    <n v="20"/>
    <n v="3"/>
    <n v="62"/>
  </r>
  <r>
    <n v="3524"/>
    <x v="278"/>
    <x v="2"/>
    <x v="292"/>
    <x v="0"/>
    <n v="10"/>
    <x v="1"/>
    <s v="No"/>
    <x v="1"/>
    <s v="Yes"/>
    <n v="20"/>
    <n v="15"/>
    <n v="15"/>
  </r>
  <r>
    <n v="3525"/>
    <x v="279"/>
    <x v="1"/>
    <x v="293"/>
    <x v="1"/>
    <n v="5"/>
    <x v="0"/>
    <s v="No"/>
    <x v="1"/>
    <s v="No"/>
    <n v="0"/>
    <n v="1"/>
    <n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05490-F2B6-45E1-A8C2-E59BAE3E3FBC}" name="tbl_easeasonpass_total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B21:C25" firstHeaderRow="1" firstDataRow="1" firstDataCol="1" rowPageCount="1" colPageCount="1"/>
  <pivotFields count="15">
    <pivotField showAll="0"/>
    <pivotField showAll="0">
      <items count="281">
        <item x="87"/>
        <item x="61"/>
        <item x="206"/>
        <item x="275"/>
        <item x="112"/>
        <item x="228"/>
        <item x="35"/>
        <item x="253"/>
        <item x="136"/>
        <item x="3"/>
        <item x="161"/>
        <item x="185"/>
        <item x="7"/>
        <item x="88"/>
        <item x="16"/>
        <item x="186"/>
        <item x="162"/>
        <item x="276"/>
        <item x="36"/>
        <item x="254"/>
        <item x="207"/>
        <item x="137"/>
        <item x="62"/>
        <item x="9"/>
        <item x="113"/>
        <item x="229"/>
        <item x="163"/>
        <item x="15"/>
        <item x="6"/>
        <item x="63"/>
        <item x="37"/>
        <item x="230"/>
        <item x="255"/>
        <item x="277"/>
        <item x="138"/>
        <item x="89"/>
        <item x="114"/>
        <item x="17"/>
        <item x="187"/>
        <item x="90"/>
        <item x="139"/>
        <item x="18"/>
        <item x="38"/>
        <item x="64"/>
        <item x="231"/>
        <item x="208"/>
        <item x="256"/>
        <item x="278"/>
        <item x="13"/>
        <item x="115"/>
        <item x="164"/>
        <item x="91"/>
        <item x="188"/>
        <item x="19"/>
        <item x="209"/>
        <item x="116"/>
        <item x="257"/>
        <item x="279"/>
        <item x="140"/>
        <item x="65"/>
        <item x="39"/>
        <item x="92"/>
        <item x="210"/>
        <item x="141"/>
        <item x="232"/>
        <item x="258"/>
        <item x="40"/>
        <item x="66"/>
        <item x="117"/>
        <item x="5"/>
        <item x="165"/>
        <item x="14"/>
        <item x="67"/>
        <item x="211"/>
        <item x="189"/>
        <item x="259"/>
        <item x="20"/>
        <item x="93"/>
        <item x="233"/>
        <item x="41"/>
        <item x="142"/>
        <item x="166"/>
        <item x="143"/>
        <item x="94"/>
        <item x="212"/>
        <item x="167"/>
        <item x="68"/>
        <item x="42"/>
        <item x="234"/>
        <item x="118"/>
        <item x="21"/>
        <item x="260"/>
        <item x="144"/>
        <item x="190"/>
        <item x="213"/>
        <item x="168"/>
        <item x="43"/>
        <item x="235"/>
        <item x="119"/>
        <item x="95"/>
        <item x="22"/>
        <item x="69"/>
        <item x="145"/>
        <item x="191"/>
        <item x="169"/>
        <item x="120"/>
        <item x="261"/>
        <item x="96"/>
        <item x="236"/>
        <item x="0"/>
        <item x="23"/>
        <item x="44"/>
        <item x="70"/>
        <item x="71"/>
        <item x="97"/>
        <item x="170"/>
        <item x="262"/>
        <item x="237"/>
        <item x="146"/>
        <item x="45"/>
        <item x="24"/>
        <item x="121"/>
        <item x="12"/>
        <item x="2"/>
        <item x="192"/>
        <item x="72"/>
        <item x="263"/>
        <item x="171"/>
        <item x="238"/>
        <item x="46"/>
        <item x="98"/>
        <item x="214"/>
        <item x="147"/>
        <item x="193"/>
        <item x="264"/>
        <item x="99"/>
        <item x="172"/>
        <item x="47"/>
        <item x="122"/>
        <item x="11"/>
        <item x="239"/>
        <item x="148"/>
        <item x="215"/>
        <item x="1"/>
        <item x="25"/>
        <item x="73"/>
        <item x="123"/>
        <item x="216"/>
        <item x="265"/>
        <item x="149"/>
        <item x="240"/>
        <item x="194"/>
        <item x="26"/>
        <item x="48"/>
        <item x="173"/>
        <item x="100"/>
        <item x="74"/>
        <item x="195"/>
        <item x="174"/>
        <item x="124"/>
        <item x="241"/>
        <item x="266"/>
        <item x="49"/>
        <item x="101"/>
        <item x="150"/>
        <item x="217"/>
        <item x="75"/>
        <item x="27"/>
        <item x="151"/>
        <item x="102"/>
        <item x="218"/>
        <item x="242"/>
        <item x="267"/>
        <item x="125"/>
        <item x="50"/>
        <item x="28"/>
        <item x="76"/>
        <item x="196"/>
        <item x="175"/>
        <item x="4"/>
        <item x="126"/>
        <item x="219"/>
        <item x="268"/>
        <item x="77"/>
        <item x="51"/>
        <item x="152"/>
        <item x="243"/>
        <item x="127"/>
        <item x="103"/>
        <item x="244"/>
        <item x="29"/>
        <item x="197"/>
        <item x="176"/>
        <item x="78"/>
        <item x="269"/>
        <item x="52"/>
        <item x="153"/>
        <item x="10"/>
        <item x="79"/>
        <item x="104"/>
        <item x="30"/>
        <item x="177"/>
        <item x="220"/>
        <item x="245"/>
        <item x="270"/>
        <item x="128"/>
        <item x="8"/>
        <item x="154"/>
        <item x="198"/>
        <item x="53"/>
        <item x="31"/>
        <item x="271"/>
        <item x="246"/>
        <item x="105"/>
        <item x="178"/>
        <item x="221"/>
        <item x="80"/>
        <item x="129"/>
        <item x="155"/>
        <item x="54"/>
        <item x="199"/>
        <item x="247"/>
        <item x="55"/>
        <item x="106"/>
        <item x="179"/>
        <item x="81"/>
        <item x="156"/>
        <item x="222"/>
        <item x="200"/>
        <item x="130"/>
        <item x="248"/>
        <item x="56"/>
        <item x="223"/>
        <item x="157"/>
        <item x="131"/>
        <item x="180"/>
        <item x="201"/>
        <item x="82"/>
        <item x="107"/>
        <item x="32"/>
        <item x="158"/>
        <item x="132"/>
        <item x="202"/>
        <item x="83"/>
        <item x="181"/>
        <item x="224"/>
        <item x="249"/>
        <item x="57"/>
        <item x="108"/>
        <item x="203"/>
        <item x="133"/>
        <item x="225"/>
        <item x="109"/>
        <item x="272"/>
        <item x="182"/>
        <item x="84"/>
        <item x="250"/>
        <item x="58"/>
        <item x="110"/>
        <item x="59"/>
        <item x="183"/>
        <item x="226"/>
        <item x="85"/>
        <item x="273"/>
        <item x="159"/>
        <item x="33"/>
        <item x="204"/>
        <item x="251"/>
        <item x="134"/>
        <item x="205"/>
        <item x="60"/>
        <item x="184"/>
        <item x="160"/>
        <item x="274"/>
        <item x="227"/>
        <item x="135"/>
        <item x="86"/>
        <item x="34"/>
        <item x="252"/>
        <item x="111"/>
        <item t="default"/>
      </items>
    </pivotField>
    <pivotField axis="axisRow" showAll="0">
      <items count="4">
        <item x="1"/>
        <item x="2"/>
        <item x="0"/>
        <item t="default"/>
      </items>
    </pivotField>
    <pivotField numFmtId="14" showAll="0">
      <items count="295">
        <item x="0"/>
        <item x="1"/>
        <item x="2"/>
        <item x="3"/>
        <item x="5"/>
        <item x="6"/>
        <item x="7"/>
        <item x="4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t="default"/>
      </items>
    </pivotField>
    <pivotField showAll="0">
      <items count="3">
        <item x="1"/>
        <item x="0"/>
        <item t="default"/>
      </items>
    </pivotField>
    <pivotField numFmtId="44" showAll="0"/>
    <pivotField axis="axisPage" showAll="0">
      <items count="4">
        <item x="1"/>
        <item x="0"/>
        <item x="2"/>
        <item t="default"/>
      </items>
    </pivotField>
    <pivotField showAll="0"/>
    <pivotField dataField="1" showAll="0">
      <items count="3">
        <item x="0"/>
        <item x="1"/>
        <item t="default"/>
      </items>
    </pivotField>
    <pivotField showAll="0"/>
    <pivotField numFmtId="44" showAll="0"/>
    <pivotField numFmtId="44" showAll="0"/>
    <pivotField numFmtId="44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6" hier="-1"/>
  </pageFields>
  <dataFields count="1">
    <dataField name="Soma de EA Play Season Pass" fld="8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FFA18B-86DF-4DF9-B4A2-7AD7078D1705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3">
  <location ref="B43:C47" firstHeaderRow="1" firstDataRow="1" firstDataCol="1" rowPageCount="1" colPageCount="1"/>
  <pivotFields count="15">
    <pivotField showAll="0"/>
    <pivotField dataField="1" showAll="0">
      <items count="281">
        <item x="87"/>
        <item x="61"/>
        <item x="206"/>
        <item x="275"/>
        <item x="112"/>
        <item x="228"/>
        <item x="35"/>
        <item x="253"/>
        <item x="136"/>
        <item x="3"/>
        <item x="161"/>
        <item x="185"/>
        <item x="7"/>
        <item x="88"/>
        <item x="16"/>
        <item x="186"/>
        <item x="162"/>
        <item x="276"/>
        <item x="36"/>
        <item x="254"/>
        <item x="207"/>
        <item x="137"/>
        <item x="62"/>
        <item x="9"/>
        <item x="113"/>
        <item x="229"/>
        <item x="163"/>
        <item x="15"/>
        <item x="6"/>
        <item x="63"/>
        <item x="37"/>
        <item x="230"/>
        <item x="255"/>
        <item x="277"/>
        <item x="138"/>
        <item x="89"/>
        <item x="114"/>
        <item x="17"/>
        <item x="187"/>
        <item x="90"/>
        <item x="139"/>
        <item x="18"/>
        <item x="38"/>
        <item x="64"/>
        <item x="231"/>
        <item x="208"/>
        <item x="256"/>
        <item x="278"/>
        <item x="13"/>
        <item x="115"/>
        <item x="164"/>
        <item x="91"/>
        <item x="188"/>
        <item x="19"/>
        <item x="209"/>
        <item x="116"/>
        <item x="257"/>
        <item x="279"/>
        <item x="140"/>
        <item x="65"/>
        <item x="39"/>
        <item x="92"/>
        <item x="210"/>
        <item x="141"/>
        <item x="232"/>
        <item x="258"/>
        <item x="40"/>
        <item x="66"/>
        <item x="117"/>
        <item x="5"/>
        <item x="165"/>
        <item x="14"/>
        <item x="67"/>
        <item x="211"/>
        <item x="189"/>
        <item x="259"/>
        <item x="20"/>
        <item x="93"/>
        <item x="233"/>
        <item x="41"/>
        <item x="142"/>
        <item x="166"/>
        <item x="143"/>
        <item x="94"/>
        <item x="212"/>
        <item x="167"/>
        <item x="68"/>
        <item x="42"/>
        <item x="234"/>
        <item x="118"/>
        <item x="21"/>
        <item x="260"/>
        <item x="144"/>
        <item x="190"/>
        <item x="213"/>
        <item x="168"/>
        <item x="43"/>
        <item x="235"/>
        <item x="119"/>
        <item x="95"/>
        <item x="22"/>
        <item x="69"/>
        <item x="145"/>
        <item x="191"/>
        <item x="169"/>
        <item x="120"/>
        <item x="261"/>
        <item x="96"/>
        <item x="236"/>
        <item x="0"/>
        <item x="23"/>
        <item x="44"/>
        <item x="70"/>
        <item x="71"/>
        <item x="97"/>
        <item x="170"/>
        <item x="262"/>
        <item x="237"/>
        <item x="146"/>
        <item x="45"/>
        <item x="24"/>
        <item x="121"/>
        <item x="12"/>
        <item x="2"/>
        <item x="192"/>
        <item x="72"/>
        <item x="263"/>
        <item x="171"/>
        <item x="238"/>
        <item x="46"/>
        <item x="98"/>
        <item x="214"/>
        <item x="147"/>
        <item x="193"/>
        <item x="264"/>
        <item x="99"/>
        <item x="172"/>
        <item x="47"/>
        <item x="122"/>
        <item x="11"/>
        <item x="239"/>
        <item x="148"/>
        <item x="215"/>
        <item x="1"/>
        <item x="25"/>
        <item x="73"/>
        <item x="123"/>
        <item x="216"/>
        <item x="265"/>
        <item x="149"/>
        <item x="240"/>
        <item x="194"/>
        <item x="26"/>
        <item x="48"/>
        <item x="173"/>
        <item x="100"/>
        <item x="74"/>
        <item x="195"/>
        <item x="174"/>
        <item x="124"/>
        <item x="241"/>
        <item x="266"/>
        <item x="49"/>
        <item x="101"/>
        <item x="150"/>
        <item x="217"/>
        <item x="75"/>
        <item x="27"/>
        <item x="151"/>
        <item x="102"/>
        <item x="218"/>
        <item x="242"/>
        <item x="267"/>
        <item x="125"/>
        <item x="50"/>
        <item x="28"/>
        <item x="76"/>
        <item x="196"/>
        <item x="175"/>
        <item x="4"/>
        <item x="126"/>
        <item x="219"/>
        <item x="268"/>
        <item x="77"/>
        <item x="51"/>
        <item x="152"/>
        <item x="243"/>
        <item x="127"/>
        <item x="103"/>
        <item x="244"/>
        <item x="29"/>
        <item x="197"/>
        <item x="176"/>
        <item x="78"/>
        <item x="269"/>
        <item x="52"/>
        <item x="153"/>
        <item x="10"/>
        <item x="79"/>
        <item x="104"/>
        <item x="30"/>
        <item x="177"/>
        <item x="220"/>
        <item x="245"/>
        <item x="270"/>
        <item x="128"/>
        <item x="8"/>
        <item x="154"/>
        <item x="198"/>
        <item x="53"/>
        <item x="31"/>
        <item x="271"/>
        <item x="246"/>
        <item x="105"/>
        <item x="178"/>
        <item x="221"/>
        <item x="80"/>
        <item x="129"/>
        <item x="155"/>
        <item x="54"/>
        <item x="199"/>
        <item x="247"/>
        <item x="55"/>
        <item x="106"/>
        <item x="179"/>
        <item x="81"/>
        <item x="156"/>
        <item x="222"/>
        <item x="200"/>
        <item x="130"/>
        <item x="248"/>
        <item x="56"/>
        <item x="223"/>
        <item x="157"/>
        <item x="131"/>
        <item x="180"/>
        <item x="201"/>
        <item x="82"/>
        <item x="107"/>
        <item x="32"/>
        <item x="158"/>
        <item x="132"/>
        <item x="202"/>
        <item x="83"/>
        <item x="181"/>
        <item x="224"/>
        <item x="249"/>
        <item x="57"/>
        <item x="108"/>
        <item x="203"/>
        <item x="133"/>
        <item x="225"/>
        <item x="109"/>
        <item x="272"/>
        <item x="182"/>
        <item x="84"/>
        <item x="250"/>
        <item x="58"/>
        <item x="110"/>
        <item x="59"/>
        <item x="183"/>
        <item x="226"/>
        <item x="85"/>
        <item x="273"/>
        <item x="159"/>
        <item x="33"/>
        <item x="204"/>
        <item x="251"/>
        <item x="134"/>
        <item x="205"/>
        <item x="60"/>
        <item x="184"/>
        <item x="160"/>
        <item x="274"/>
        <item x="227"/>
        <item x="135"/>
        <item x="86"/>
        <item x="34"/>
        <item x="252"/>
        <item x="111"/>
        <item t="default"/>
      </items>
    </pivotField>
    <pivotField axis="axisRow" showAll="0">
      <items count="4">
        <item x="1"/>
        <item x="2"/>
        <item x="0"/>
        <item t="default"/>
      </items>
    </pivotField>
    <pivotField numFmtId="14" showAll="0">
      <items count="295">
        <item x="0"/>
        <item x="1"/>
        <item x="2"/>
        <item x="3"/>
        <item x="5"/>
        <item x="6"/>
        <item x="7"/>
        <item x="4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t="default"/>
      </items>
    </pivotField>
    <pivotField showAll="0">
      <items count="3">
        <item x="1"/>
        <item x="0"/>
        <item t="default"/>
      </items>
    </pivotField>
    <pivotField numFmtId="44" showAll="0"/>
    <pivotField axis="axisPage" showAll="0">
      <items count="4">
        <item x="1"/>
        <item x="0"/>
        <item x="2"/>
        <item t="default"/>
      </items>
    </pivotField>
    <pivotField showAll="0"/>
    <pivotField showAll="0">
      <items count="3">
        <item x="0"/>
        <item x="1"/>
        <item t="default"/>
      </items>
    </pivotField>
    <pivotField showAll="0"/>
    <pivotField numFmtId="44" showAll="0"/>
    <pivotField numFmtId="44" showAll="0"/>
    <pivotField numFmtId="44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6" hier="-1"/>
  </pageFields>
  <dataFields count="1">
    <dataField name="Contagem de Name" fld="1" subtotal="count" baseField="0" baseItem="0"/>
  </dataFields>
  <chartFormats count="8"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7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7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1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E17BE4-EBDD-4E6C-AABB-48C907DB6551}" name="Tabela dinâmica9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B32:C36" firstHeaderRow="1" firstDataRow="1" firstDataCol="1" rowPageCount="1" colPageCount="1"/>
  <pivotFields count="15">
    <pivotField showAll="0"/>
    <pivotField showAll="0">
      <items count="281">
        <item x="87"/>
        <item x="61"/>
        <item x="206"/>
        <item x="275"/>
        <item x="112"/>
        <item x="228"/>
        <item x="35"/>
        <item x="253"/>
        <item x="136"/>
        <item x="3"/>
        <item x="161"/>
        <item x="185"/>
        <item x="7"/>
        <item x="88"/>
        <item x="16"/>
        <item x="186"/>
        <item x="162"/>
        <item x="276"/>
        <item x="36"/>
        <item x="254"/>
        <item x="207"/>
        <item x="137"/>
        <item x="62"/>
        <item x="9"/>
        <item x="113"/>
        <item x="229"/>
        <item x="163"/>
        <item x="15"/>
        <item x="6"/>
        <item x="63"/>
        <item x="37"/>
        <item x="230"/>
        <item x="255"/>
        <item x="277"/>
        <item x="138"/>
        <item x="89"/>
        <item x="114"/>
        <item x="17"/>
        <item x="187"/>
        <item x="90"/>
        <item x="139"/>
        <item x="18"/>
        <item x="38"/>
        <item x="64"/>
        <item x="231"/>
        <item x="208"/>
        <item x="256"/>
        <item x="278"/>
        <item x="13"/>
        <item x="115"/>
        <item x="164"/>
        <item x="91"/>
        <item x="188"/>
        <item x="19"/>
        <item x="209"/>
        <item x="116"/>
        <item x="257"/>
        <item x="279"/>
        <item x="140"/>
        <item x="65"/>
        <item x="39"/>
        <item x="92"/>
        <item x="210"/>
        <item x="141"/>
        <item x="232"/>
        <item x="258"/>
        <item x="40"/>
        <item x="66"/>
        <item x="117"/>
        <item x="5"/>
        <item x="165"/>
        <item x="14"/>
        <item x="67"/>
        <item x="211"/>
        <item x="189"/>
        <item x="259"/>
        <item x="20"/>
        <item x="93"/>
        <item x="233"/>
        <item x="41"/>
        <item x="142"/>
        <item x="166"/>
        <item x="143"/>
        <item x="94"/>
        <item x="212"/>
        <item x="167"/>
        <item x="68"/>
        <item x="42"/>
        <item x="234"/>
        <item x="118"/>
        <item x="21"/>
        <item x="260"/>
        <item x="144"/>
        <item x="190"/>
        <item x="213"/>
        <item x="168"/>
        <item x="43"/>
        <item x="235"/>
        <item x="119"/>
        <item x="95"/>
        <item x="22"/>
        <item x="69"/>
        <item x="145"/>
        <item x="191"/>
        <item x="169"/>
        <item x="120"/>
        <item x="261"/>
        <item x="96"/>
        <item x="236"/>
        <item x="0"/>
        <item x="23"/>
        <item x="44"/>
        <item x="70"/>
        <item x="71"/>
        <item x="97"/>
        <item x="170"/>
        <item x="262"/>
        <item x="237"/>
        <item x="146"/>
        <item x="45"/>
        <item x="24"/>
        <item x="121"/>
        <item x="12"/>
        <item x="2"/>
        <item x="192"/>
        <item x="72"/>
        <item x="263"/>
        <item x="171"/>
        <item x="238"/>
        <item x="46"/>
        <item x="98"/>
        <item x="214"/>
        <item x="147"/>
        <item x="193"/>
        <item x="264"/>
        <item x="99"/>
        <item x="172"/>
        <item x="47"/>
        <item x="122"/>
        <item x="11"/>
        <item x="239"/>
        <item x="148"/>
        <item x="215"/>
        <item x="1"/>
        <item x="25"/>
        <item x="73"/>
        <item x="123"/>
        <item x="216"/>
        <item x="265"/>
        <item x="149"/>
        <item x="240"/>
        <item x="194"/>
        <item x="26"/>
        <item x="48"/>
        <item x="173"/>
        <item x="100"/>
        <item x="74"/>
        <item x="195"/>
        <item x="174"/>
        <item x="124"/>
        <item x="241"/>
        <item x="266"/>
        <item x="49"/>
        <item x="101"/>
        <item x="150"/>
        <item x="217"/>
        <item x="75"/>
        <item x="27"/>
        <item x="151"/>
        <item x="102"/>
        <item x="218"/>
        <item x="242"/>
        <item x="267"/>
        <item x="125"/>
        <item x="50"/>
        <item x="28"/>
        <item x="76"/>
        <item x="196"/>
        <item x="175"/>
        <item x="4"/>
        <item x="126"/>
        <item x="219"/>
        <item x="268"/>
        <item x="77"/>
        <item x="51"/>
        <item x="152"/>
        <item x="243"/>
        <item x="127"/>
        <item x="103"/>
        <item x="244"/>
        <item x="29"/>
        <item x="197"/>
        <item x="176"/>
        <item x="78"/>
        <item x="269"/>
        <item x="52"/>
        <item x="153"/>
        <item x="10"/>
        <item x="79"/>
        <item x="104"/>
        <item x="30"/>
        <item x="177"/>
        <item x="220"/>
        <item x="245"/>
        <item x="270"/>
        <item x="128"/>
        <item x="8"/>
        <item x="154"/>
        <item x="198"/>
        <item x="53"/>
        <item x="31"/>
        <item x="271"/>
        <item x="246"/>
        <item x="105"/>
        <item x="178"/>
        <item x="221"/>
        <item x="80"/>
        <item x="129"/>
        <item x="155"/>
        <item x="54"/>
        <item x="199"/>
        <item x="247"/>
        <item x="55"/>
        <item x="106"/>
        <item x="179"/>
        <item x="81"/>
        <item x="156"/>
        <item x="222"/>
        <item x="200"/>
        <item x="130"/>
        <item x="248"/>
        <item x="56"/>
        <item x="223"/>
        <item x="157"/>
        <item x="131"/>
        <item x="180"/>
        <item x="201"/>
        <item x="82"/>
        <item x="107"/>
        <item x="32"/>
        <item x="158"/>
        <item x="132"/>
        <item x="202"/>
        <item x="83"/>
        <item x="181"/>
        <item x="224"/>
        <item x="249"/>
        <item x="57"/>
        <item x="108"/>
        <item x="203"/>
        <item x="133"/>
        <item x="225"/>
        <item x="109"/>
        <item x="272"/>
        <item x="182"/>
        <item x="84"/>
        <item x="250"/>
        <item x="58"/>
        <item x="110"/>
        <item x="59"/>
        <item x="183"/>
        <item x="226"/>
        <item x="85"/>
        <item x="273"/>
        <item x="159"/>
        <item x="33"/>
        <item x="204"/>
        <item x="251"/>
        <item x="134"/>
        <item x="205"/>
        <item x="60"/>
        <item x="184"/>
        <item x="160"/>
        <item x="274"/>
        <item x="227"/>
        <item x="135"/>
        <item x="86"/>
        <item x="34"/>
        <item x="252"/>
        <item x="111"/>
        <item t="default"/>
      </items>
    </pivotField>
    <pivotField axis="axisRow" showAll="0">
      <items count="4">
        <item x="1"/>
        <item x="2"/>
        <item x="0"/>
        <item t="default"/>
      </items>
    </pivotField>
    <pivotField numFmtId="14" showAll="0">
      <items count="295">
        <item x="0"/>
        <item x="1"/>
        <item x="2"/>
        <item x="3"/>
        <item x="5"/>
        <item x="6"/>
        <item x="7"/>
        <item x="4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t="default"/>
      </items>
    </pivotField>
    <pivotField showAll="0">
      <items count="3">
        <item x="1"/>
        <item x="0"/>
        <item t="default"/>
      </items>
    </pivotField>
    <pivotField numFmtId="44" showAll="0"/>
    <pivotField axis="axisPage" showAll="0">
      <items count="4">
        <item x="1"/>
        <item x="0"/>
        <item x="2"/>
        <item t="default"/>
      </items>
    </pivotField>
    <pivotField showAll="0"/>
    <pivotField showAll="0">
      <items count="3">
        <item x="0"/>
        <item x="1"/>
        <item t="default"/>
      </items>
    </pivotField>
    <pivotField showAll="0"/>
    <pivotField dataField="1" numFmtId="44" showAll="0"/>
    <pivotField numFmtId="44" showAll="0"/>
    <pivotField numFmtId="44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6" hier="-1"/>
  </pageFields>
  <dataFields count="1">
    <dataField name="Soma de Minecraft Season Pass Price" fld="10" baseField="0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D367E3-42E0-4A94-8A85-218C6CBCA67C}" name="Tabela dinâ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1">
  <location ref="B51:C54" firstHeaderRow="1" firstDataRow="1" firstDataCol="1"/>
  <pivotFields count="15">
    <pivotField showAll="0"/>
    <pivotField dataField="1" showAll="0">
      <items count="281">
        <item x="87"/>
        <item x="61"/>
        <item x="206"/>
        <item x="275"/>
        <item x="112"/>
        <item x="228"/>
        <item x="35"/>
        <item x="253"/>
        <item x="136"/>
        <item x="3"/>
        <item x="161"/>
        <item x="185"/>
        <item x="7"/>
        <item x="88"/>
        <item x="16"/>
        <item x="186"/>
        <item x="162"/>
        <item x="276"/>
        <item x="36"/>
        <item x="254"/>
        <item x="207"/>
        <item x="137"/>
        <item x="62"/>
        <item x="9"/>
        <item x="113"/>
        <item x="229"/>
        <item x="163"/>
        <item x="15"/>
        <item x="6"/>
        <item x="63"/>
        <item x="37"/>
        <item x="230"/>
        <item x="255"/>
        <item x="277"/>
        <item x="138"/>
        <item x="89"/>
        <item x="114"/>
        <item x="17"/>
        <item x="187"/>
        <item x="90"/>
        <item x="139"/>
        <item x="18"/>
        <item x="38"/>
        <item x="64"/>
        <item x="231"/>
        <item x="208"/>
        <item x="256"/>
        <item x="278"/>
        <item x="13"/>
        <item x="115"/>
        <item x="164"/>
        <item x="91"/>
        <item x="188"/>
        <item x="19"/>
        <item x="209"/>
        <item x="116"/>
        <item x="257"/>
        <item x="279"/>
        <item x="140"/>
        <item x="65"/>
        <item x="39"/>
        <item x="92"/>
        <item x="210"/>
        <item x="141"/>
        <item x="232"/>
        <item x="258"/>
        <item x="40"/>
        <item x="66"/>
        <item x="117"/>
        <item x="5"/>
        <item x="165"/>
        <item x="14"/>
        <item x="67"/>
        <item x="211"/>
        <item x="189"/>
        <item x="259"/>
        <item x="20"/>
        <item x="93"/>
        <item x="233"/>
        <item x="41"/>
        <item x="142"/>
        <item x="166"/>
        <item x="143"/>
        <item x="94"/>
        <item x="212"/>
        <item x="167"/>
        <item x="68"/>
        <item x="42"/>
        <item x="234"/>
        <item x="118"/>
        <item x="21"/>
        <item x="260"/>
        <item x="144"/>
        <item x="190"/>
        <item x="213"/>
        <item x="168"/>
        <item x="43"/>
        <item x="235"/>
        <item x="119"/>
        <item x="95"/>
        <item x="22"/>
        <item x="69"/>
        <item x="145"/>
        <item x="191"/>
        <item x="169"/>
        <item x="120"/>
        <item x="261"/>
        <item x="96"/>
        <item x="236"/>
        <item x="0"/>
        <item x="23"/>
        <item x="44"/>
        <item x="70"/>
        <item x="71"/>
        <item x="97"/>
        <item x="170"/>
        <item x="262"/>
        <item x="237"/>
        <item x="146"/>
        <item x="45"/>
        <item x="24"/>
        <item x="121"/>
        <item x="12"/>
        <item x="2"/>
        <item x="192"/>
        <item x="72"/>
        <item x="263"/>
        <item x="171"/>
        <item x="238"/>
        <item x="46"/>
        <item x="98"/>
        <item x="214"/>
        <item x="147"/>
        <item x="193"/>
        <item x="264"/>
        <item x="99"/>
        <item x="172"/>
        <item x="47"/>
        <item x="122"/>
        <item x="11"/>
        <item x="239"/>
        <item x="148"/>
        <item x="215"/>
        <item x="1"/>
        <item x="25"/>
        <item x="73"/>
        <item x="123"/>
        <item x="216"/>
        <item x="265"/>
        <item x="149"/>
        <item x="240"/>
        <item x="194"/>
        <item x="26"/>
        <item x="48"/>
        <item x="173"/>
        <item x="100"/>
        <item x="74"/>
        <item x="195"/>
        <item x="174"/>
        <item x="124"/>
        <item x="241"/>
        <item x="266"/>
        <item x="49"/>
        <item x="101"/>
        <item x="150"/>
        <item x="217"/>
        <item x="75"/>
        <item x="27"/>
        <item x="151"/>
        <item x="102"/>
        <item x="218"/>
        <item x="242"/>
        <item x="267"/>
        <item x="125"/>
        <item x="50"/>
        <item x="28"/>
        <item x="76"/>
        <item x="196"/>
        <item x="175"/>
        <item x="4"/>
        <item x="126"/>
        <item x="219"/>
        <item x="268"/>
        <item x="77"/>
        <item x="51"/>
        <item x="152"/>
        <item x="243"/>
        <item x="127"/>
        <item x="103"/>
        <item x="244"/>
        <item x="29"/>
        <item x="197"/>
        <item x="176"/>
        <item x="78"/>
        <item x="269"/>
        <item x="52"/>
        <item x="153"/>
        <item x="10"/>
        <item x="79"/>
        <item x="104"/>
        <item x="30"/>
        <item x="177"/>
        <item x="220"/>
        <item x="245"/>
        <item x="270"/>
        <item x="128"/>
        <item x="8"/>
        <item x="154"/>
        <item x="198"/>
        <item x="53"/>
        <item x="31"/>
        <item x="271"/>
        <item x="246"/>
        <item x="105"/>
        <item x="178"/>
        <item x="221"/>
        <item x="80"/>
        <item x="129"/>
        <item x="155"/>
        <item x="54"/>
        <item x="199"/>
        <item x="247"/>
        <item x="55"/>
        <item x="106"/>
        <item x="179"/>
        <item x="81"/>
        <item x="156"/>
        <item x="222"/>
        <item x="200"/>
        <item x="130"/>
        <item x="248"/>
        <item x="56"/>
        <item x="223"/>
        <item x="157"/>
        <item x="131"/>
        <item x="180"/>
        <item x="201"/>
        <item x="82"/>
        <item x="107"/>
        <item x="32"/>
        <item x="158"/>
        <item x="132"/>
        <item x="202"/>
        <item x="83"/>
        <item x="181"/>
        <item x="224"/>
        <item x="249"/>
        <item x="57"/>
        <item x="108"/>
        <item x="203"/>
        <item x="133"/>
        <item x="225"/>
        <item x="109"/>
        <item x="272"/>
        <item x="182"/>
        <item x="84"/>
        <item x="250"/>
        <item x="58"/>
        <item x="110"/>
        <item x="59"/>
        <item x="183"/>
        <item x="226"/>
        <item x="85"/>
        <item x="273"/>
        <item x="159"/>
        <item x="33"/>
        <item x="204"/>
        <item x="251"/>
        <item x="134"/>
        <item x="205"/>
        <item x="60"/>
        <item x="184"/>
        <item x="160"/>
        <item x="274"/>
        <item x="227"/>
        <item x="135"/>
        <item x="86"/>
        <item x="34"/>
        <item x="252"/>
        <item x="111"/>
        <item t="default"/>
      </items>
    </pivotField>
    <pivotField showAll="0">
      <items count="4">
        <item x="1"/>
        <item x="2"/>
        <item x="0"/>
        <item t="default"/>
      </items>
    </pivotField>
    <pivotField numFmtId="14" showAll="0">
      <items count="295">
        <item x="0"/>
        <item x="1"/>
        <item x="2"/>
        <item x="3"/>
        <item x="5"/>
        <item x="6"/>
        <item x="7"/>
        <item x="4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t="default"/>
      </items>
    </pivotField>
    <pivotField axis="axisRow" showAll="0">
      <items count="3">
        <item x="1"/>
        <item x="0"/>
        <item t="default"/>
      </items>
    </pivotField>
    <pivotField numFmtId="44" showAll="0"/>
    <pivotField showAll="0">
      <items count="4">
        <item x="1"/>
        <item x="0"/>
        <item x="2"/>
        <item t="default"/>
      </items>
    </pivotField>
    <pivotField showAll="0"/>
    <pivotField showAll="0">
      <items count="3">
        <item x="0"/>
        <item x="1"/>
        <item t="default"/>
      </items>
    </pivotField>
    <pivotField showAll="0"/>
    <pivotField numFmtId="44" showAll="0"/>
    <pivotField numFmtId="44" showAll="0"/>
    <pivotField numFmtId="44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3">
    <i>
      <x/>
    </i>
    <i>
      <x v="1"/>
    </i>
    <i t="grand">
      <x/>
    </i>
  </rowItems>
  <colItems count="1">
    <i/>
  </colItems>
  <dataFields count="1">
    <dataField name="Contagem de Name" fld="1" subtotal="count" baseField="0" baseItem="0"/>
  </dataFields>
  <chartFormats count="3">
    <chartFormat chart="1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5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9" format="6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CA473E-AE53-4A97-87D9-4C1BD79577D9}" name="Tabela dinâmica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4">
  <location ref="B63:F77" firstHeaderRow="1" firstDataRow="2" firstDataCol="1"/>
  <pivotFields count="15">
    <pivotField showAll="0"/>
    <pivotField showAll="0">
      <items count="281">
        <item x="87"/>
        <item x="61"/>
        <item x="206"/>
        <item x="275"/>
        <item x="112"/>
        <item x="228"/>
        <item x="35"/>
        <item x="253"/>
        <item x="136"/>
        <item x="3"/>
        <item x="161"/>
        <item x="185"/>
        <item x="7"/>
        <item x="88"/>
        <item x="16"/>
        <item x="186"/>
        <item x="162"/>
        <item x="276"/>
        <item x="36"/>
        <item x="254"/>
        <item x="207"/>
        <item x="137"/>
        <item x="62"/>
        <item x="9"/>
        <item x="113"/>
        <item x="229"/>
        <item x="163"/>
        <item x="15"/>
        <item x="6"/>
        <item x="63"/>
        <item x="37"/>
        <item x="230"/>
        <item x="255"/>
        <item x="277"/>
        <item x="138"/>
        <item x="89"/>
        <item x="114"/>
        <item x="17"/>
        <item x="187"/>
        <item x="90"/>
        <item x="139"/>
        <item x="18"/>
        <item x="38"/>
        <item x="64"/>
        <item x="231"/>
        <item x="208"/>
        <item x="256"/>
        <item x="278"/>
        <item x="13"/>
        <item x="115"/>
        <item x="164"/>
        <item x="91"/>
        <item x="188"/>
        <item x="19"/>
        <item x="209"/>
        <item x="116"/>
        <item x="257"/>
        <item x="279"/>
        <item x="140"/>
        <item x="65"/>
        <item x="39"/>
        <item x="92"/>
        <item x="210"/>
        <item x="141"/>
        <item x="232"/>
        <item x="258"/>
        <item x="40"/>
        <item x="66"/>
        <item x="117"/>
        <item x="5"/>
        <item x="165"/>
        <item x="14"/>
        <item x="67"/>
        <item x="211"/>
        <item x="189"/>
        <item x="259"/>
        <item x="20"/>
        <item x="93"/>
        <item x="233"/>
        <item x="41"/>
        <item x="142"/>
        <item x="166"/>
        <item x="143"/>
        <item x="94"/>
        <item x="212"/>
        <item x="167"/>
        <item x="68"/>
        <item x="42"/>
        <item x="234"/>
        <item x="118"/>
        <item x="21"/>
        <item x="260"/>
        <item x="144"/>
        <item x="190"/>
        <item x="213"/>
        <item x="168"/>
        <item x="43"/>
        <item x="235"/>
        <item x="119"/>
        <item x="95"/>
        <item x="22"/>
        <item x="69"/>
        <item x="145"/>
        <item x="191"/>
        <item x="169"/>
        <item x="120"/>
        <item x="261"/>
        <item x="96"/>
        <item x="236"/>
        <item x="0"/>
        <item x="23"/>
        <item x="44"/>
        <item x="70"/>
        <item x="71"/>
        <item x="97"/>
        <item x="170"/>
        <item x="262"/>
        <item x="237"/>
        <item x="146"/>
        <item x="45"/>
        <item x="24"/>
        <item x="121"/>
        <item x="12"/>
        <item x="2"/>
        <item x="192"/>
        <item x="72"/>
        <item x="263"/>
        <item x="171"/>
        <item x="238"/>
        <item x="46"/>
        <item x="98"/>
        <item x="214"/>
        <item x="147"/>
        <item x="193"/>
        <item x="264"/>
        <item x="99"/>
        <item x="172"/>
        <item x="47"/>
        <item x="122"/>
        <item x="11"/>
        <item x="239"/>
        <item x="148"/>
        <item x="215"/>
        <item x="1"/>
        <item x="25"/>
        <item x="73"/>
        <item x="123"/>
        <item x="216"/>
        <item x="265"/>
        <item x="149"/>
        <item x="240"/>
        <item x="194"/>
        <item x="26"/>
        <item x="48"/>
        <item x="173"/>
        <item x="100"/>
        <item x="74"/>
        <item x="195"/>
        <item x="174"/>
        <item x="124"/>
        <item x="241"/>
        <item x="266"/>
        <item x="49"/>
        <item x="101"/>
        <item x="150"/>
        <item x="217"/>
        <item x="75"/>
        <item x="27"/>
        <item x="151"/>
        <item x="102"/>
        <item x="218"/>
        <item x="242"/>
        <item x="267"/>
        <item x="125"/>
        <item x="50"/>
        <item x="28"/>
        <item x="76"/>
        <item x="196"/>
        <item x="175"/>
        <item x="4"/>
        <item x="126"/>
        <item x="219"/>
        <item x="268"/>
        <item x="77"/>
        <item x="51"/>
        <item x="152"/>
        <item x="243"/>
        <item x="127"/>
        <item x="103"/>
        <item x="244"/>
        <item x="29"/>
        <item x="197"/>
        <item x="176"/>
        <item x="78"/>
        <item x="269"/>
        <item x="52"/>
        <item x="153"/>
        <item x="10"/>
        <item x="79"/>
        <item x="104"/>
        <item x="30"/>
        <item x="177"/>
        <item x="220"/>
        <item x="245"/>
        <item x="270"/>
        <item x="128"/>
        <item x="8"/>
        <item x="154"/>
        <item x="198"/>
        <item x="53"/>
        <item x="31"/>
        <item x="271"/>
        <item x="246"/>
        <item x="105"/>
        <item x="178"/>
        <item x="221"/>
        <item x="80"/>
        <item x="129"/>
        <item x="155"/>
        <item x="54"/>
        <item x="199"/>
        <item x="247"/>
        <item x="55"/>
        <item x="106"/>
        <item x="179"/>
        <item x="81"/>
        <item x="156"/>
        <item x="222"/>
        <item x="200"/>
        <item x="130"/>
        <item x="248"/>
        <item x="56"/>
        <item x="223"/>
        <item x="157"/>
        <item x="131"/>
        <item x="180"/>
        <item x="201"/>
        <item x="82"/>
        <item x="107"/>
        <item x="32"/>
        <item x="158"/>
        <item x="132"/>
        <item x="202"/>
        <item x="83"/>
        <item x="181"/>
        <item x="224"/>
        <item x="249"/>
        <item x="57"/>
        <item x="108"/>
        <item x="203"/>
        <item x="133"/>
        <item x="225"/>
        <item x="109"/>
        <item x="272"/>
        <item x="182"/>
        <item x="84"/>
        <item x="250"/>
        <item x="58"/>
        <item x="110"/>
        <item x="59"/>
        <item x="183"/>
        <item x="226"/>
        <item x="85"/>
        <item x="273"/>
        <item x="159"/>
        <item x="33"/>
        <item x="204"/>
        <item x="251"/>
        <item x="134"/>
        <item x="205"/>
        <item x="60"/>
        <item x="184"/>
        <item x="160"/>
        <item x="274"/>
        <item x="227"/>
        <item x="135"/>
        <item x="86"/>
        <item x="34"/>
        <item x="252"/>
        <item x="111"/>
        <item t="default"/>
      </items>
    </pivotField>
    <pivotField axis="axisCol" showAll="0">
      <items count="4">
        <item x="1"/>
        <item x="2"/>
        <item x="0"/>
        <item t="default"/>
      </items>
    </pivotField>
    <pivotField axis="axisRow" numFmtId="14" showAll="0">
      <items count="295">
        <item x="0"/>
        <item x="1"/>
        <item x="2"/>
        <item x="3"/>
        <item x="5"/>
        <item x="6"/>
        <item x="7"/>
        <item x="4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t="default"/>
      </items>
    </pivotField>
    <pivotField showAll="0">
      <items count="3">
        <item x="1"/>
        <item x="0"/>
        <item t="default"/>
      </items>
    </pivotField>
    <pivotField numFmtId="44" showAll="0"/>
    <pivotField showAll="0">
      <items count="4">
        <item x="1"/>
        <item x="0"/>
        <item x="2"/>
        <item t="default"/>
      </items>
    </pivotField>
    <pivotField showAll="0"/>
    <pivotField showAll="0">
      <items count="3">
        <item x="0"/>
        <item x="1"/>
        <item t="default"/>
      </items>
    </pivotField>
    <pivotField showAll="0"/>
    <pivotField numFmtId="44" showAll="0"/>
    <pivotField numFmtId="44" showAll="0"/>
    <pivotField dataField="1" numFmtId="44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4"/>
    <field x="3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dataFields count="1">
    <dataField name="Soma de Total Value" fld="12" baseField="0" baseItem="0" numFmtId="44"/>
  </dataFields>
  <chartFormats count="3">
    <chartFormat chart="32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32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32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786295-8353-4BE2-9C12-200F15B8EF15}" name="tbl_annual_total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1:C14" firstHeaderRow="1" firstDataRow="1" firstDataCol="1" rowPageCount="1" colPageCount="1"/>
  <pivotFields count="15">
    <pivotField showAll="0"/>
    <pivotField showAll="0">
      <items count="281">
        <item x="87"/>
        <item x="61"/>
        <item x="206"/>
        <item x="275"/>
        <item x="112"/>
        <item x="228"/>
        <item x="35"/>
        <item x="253"/>
        <item x="136"/>
        <item x="3"/>
        <item x="161"/>
        <item x="185"/>
        <item x="7"/>
        <item x="88"/>
        <item x="16"/>
        <item x="186"/>
        <item x="162"/>
        <item x="276"/>
        <item x="36"/>
        <item x="254"/>
        <item x="207"/>
        <item x="137"/>
        <item x="62"/>
        <item x="9"/>
        <item x="113"/>
        <item x="229"/>
        <item x="163"/>
        <item x="15"/>
        <item x="6"/>
        <item x="63"/>
        <item x="37"/>
        <item x="230"/>
        <item x="255"/>
        <item x="277"/>
        <item x="138"/>
        <item x="89"/>
        <item x="114"/>
        <item x="17"/>
        <item x="187"/>
        <item x="90"/>
        <item x="139"/>
        <item x="18"/>
        <item x="38"/>
        <item x="64"/>
        <item x="231"/>
        <item x="208"/>
        <item x="256"/>
        <item x="278"/>
        <item x="13"/>
        <item x="115"/>
        <item x="164"/>
        <item x="91"/>
        <item x="188"/>
        <item x="19"/>
        <item x="209"/>
        <item x="116"/>
        <item x="257"/>
        <item x="279"/>
        <item x="140"/>
        <item x="65"/>
        <item x="39"/>
        <item x="92"/>
        <item x="210"/>
        <item x="141"/>
        <item x="232"/>
        <item x="258"/>
        <item x="40"/>
        <item x="66"/>
        <item x="117"/>
        <item x="5"/>
        <item x="165"/>
        <item x="14"/>
        <item x="67"/>
        <item x="211"/>
        <item x="189"/>
        <item x="259"/>
        <item x="20"/>
        <item x="93"/>
        <item x="233"/>
        <item x="41"/>
        <item x="142"/>
        <item x="166"/>
        <item x="143"/>
        <item x="94"/>
        <item x="212"/>
        <item x="167"/>
        <item x="68"/>
        <item x="42"/>
        <item x="234"/>
        <item x="118"/>
        <item x="21"/>
        <item x="260"/>
        <item x="144"/>
        <item x="190"/>
        <item x="213"/>
        <item x="168"/>
        <item x="43"/>
        <item x="235"/>
        <item x="119"/>
        <item x="95"/>
        <item x="22"/>
        <item x="69"/>
        <item x="145"/>
        <item x="191"/>
        <item x="169"/>
        <item x="120"/>
        <item x="261"/>
        <item x="96"/>
        <item x="236"/>
        <item x="0"/>
        <item x="23"/>
        <item x="44"/>
        <item x="70"/>
        <item x="71"/>
        <item x="97"/>
        <item x="170"/>
        <item x="262"/>
        <item x="237"/>
        <item x="146"/>
        <item x="45"/>
        <item x="24"/>
        <item x="121"/>
        <item x="12"/>
        <item x="2"/>
        <item x="192"/>
        <item x="72"/>
        <item x="263"/>
        <item x="171"/>
        <item x="238"/>
        <item x="46"/>
        <item x="98"/>
        <item x="214"/>
        <item x="147"/>
        <item x="193"/>
        <item x="264"/>
        <item x="99"/>
        <item x="172"/>
        <item x="47"/>
        <item x="122"/>
        <item x="11"/>
        <item x="239"/>
        <item x="148"/>
        <item x="215"/>
        <item x="1"/>
        <item x="25"/>
        <item x="73"/>
        <item x="123"/>
        <item x="216"/>
        <item x="265"/>
        <item x="149"/>
        <item x="240"/>
        <item x="194"/>
        <item x="26"/>
        <item x="48"/>
        <item x="173"/>
        <item x="100"/>
        <item x="74"/>
        <item x="195"/>
        <item x="174"/>
        <item x="124"/>
        <item x="241"/>
        <item x="266"/>
        <item x="49"/>
        <item x="101"/>
        <item x="150"/>
        <item x="217"/>
        <item x="75"/>
        <item x="27"/>
        <item x="151"/>
        <item x="102"/>
        <item x="218"/>
        <item x="242"/>
        <item x="267"/>
        <item x="125"/>
        <item x="50"/>
        <item x="28"/>
        <item x="76"/>
        <item x="196"/>
        <item x="175"/>
        <item x="4"/>
        <item x="126"/>
        <item x="219"/>
        <item x="268"/>
        <item x="77"/>
        <item x="51"/>
        <item x="152"/>
        <item x="243"/>
        <item x="127"/>
        <item x="103"/>
        <item x="244"/>
        <item x="29"/>
        <item x="197"/>
        <item x="176"/>
        <item x="78"/>
        <item x="269"/>
        <item x="52"/>
        <item x="153"/>
        <item x="10"/>
        <item x="79"/>
        <item x="104"/>
        <item x="30"/>
        <item x="177"/>
        <item x="220"/>
        <item x="245"/>
        <item x="270"/>
        <item x="128"/>
        <item x="8"/>
        <item x="154"/>
        <item x="198"/>
        <item x="53"/>
        <item x="31"/>
        <item x="271"/>
        <item x="246"/>
        <item x="105"/>
        <item x="178"/>
        <item x="221"/>
        <item x="80"/>
        <item x="129"/>
        <item x="155"/>
        <item x="54"/>
        <item x="199"/>
        <item x="247"/>
        <item x="55"/>
        <item x="106"/>
        <item x="179"/>
        <item x="81"/>
        <item x="156"/>
        <item x="222"/>
        <item x="200"/>
        <item x="130"/>
        <item x="248"/>
        <item x="56"/>
        <item x="223"/>
        <item x="157"/>
        <item x="131"/>
        <item x="180"/>
        <item x="201"/>
        <item x="82"/>
        <item x="107"/>
        <item x="32"/>
        <item x="158"/>
        <item x="132"/>
        <item x="202"/>
        <item x="83"/>
        <item x="181"/>
        <item x="224"/>
        <item x="249"/>
        <item x="57"/>
        <item x="108"/>
        <item x="203"/>
        <item x="133"/>
        <item x="225"/>
        <item x="109"/>
        <item x="272"/>
        <item x="182"/>
        <item x="84"/>
        <item x="250"/>
        <item x="58"/>
        <item x="110"/>
        <item x="59"/>
        <item x="183"/>
        <item x="226"/>
        <item x="85"/>
        <item x="273"/>
        <item x="159"/>
        <item x="33"/>
        <item x="204"/>
        <item x="251"/>
        <item x="134"/>
        <item x="205"/>
        <item x="60"/>
        <item x="184"/>
        <item x="160"/>
        <item x="274"/>
        <item x="227"/>
        <item x="135"/>
        <item x="86"/>
        <item x="34"/>
        <item x="252"/>
        <item x="111"/>
        <item t="default"/>
      </items>
    </pivotField>
    <pivotField showAll="0"/>
    <pivotField numFmtId="14" showAll="0">
      <items count="295">
        <item x="0"/>
        <item x="1"/>
        <item x="2"/>
        <item x="3"/>
        <item x="5"/>
        <item x="6"/>
        <item x="7"/>
        <item x="4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t="default"/>
      </items>
    </pivotField>
    <pivotField axis="axisRow" showAll="0">
      <items count="3">
        <item x="1"/>
        <item x="0"/>
        <item t="default"/>
      </items>
    </pivotField>
    <pivotField numFmtId="44" showAll="0"/>
    <pivotField axis="axisPage" showAll="0">
      <items count="4">
        <item x="1"/>
        <item x="0"/>
        <item x="2"/>
        <item t="default"/>
      </items>
    </pivotField>
    <pivotField showAll="0"/>
    <pivotField showAll="0"/>
    <pivotField showAll="0"/>
    <pivotField numFmtId="44" showAll="0"/>
    <pivotField numFmtId="44" showAll="0"/>
    <pivotField dataField="1" numFmtId="44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3">
    <i>
      <x/>
    </i>
    <i>
      <x v="1"/>
    </i>
    <i t="grand">
      <x/>
    </i>
  </rowItems>
  <colItems count="1">
    <i/>
  </colItems>
  <pageFields count="1">
    <pageField fld="6" hier="-1"/>
  </pageFields>
  <dataFields count="1">
    <dataField name="Soma de Total Value" fld="12" baseField="0" baseItem="0" numFmtId="44"/>
  </dataField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8EE440-4D82-4144-9341-DB2BA229E2B3}" name="Tabela dinâ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1">
  <location ref="B58:B59" firstHeaderRow="1" firstDataRow="1" firstDataCol="0"/>
  <pivotFields count="15">
    <pivotField showAll="0"/>
    <pivotField showAll="0">
      <items count="281">
        <item x="87"/>
        <item x="61"/>
        <item x="206"/>
        <item x="275"/>
        <item x="112"/>
        <item x="228"/>
        <item x="35"/>
        <item x="253"/>
        <item x="136"/>
        <item x="3"/>
        <item x="161"/>
        <item x="185"/>
        <item x="7"/>
        <item x="88"/>
        <item x="16"/>
        <item x="186"/>
        <item x="162"/>
        <item x="276"/>
        <item x="36"/>
        <item x="254"/>
        <item x="207"/>
        <item x="137"/>
        <item x="62"/>
        <item x="9"/>
        <item x="113"/>
        <item x="229"/>
        <item x="163"/>
        <item x="15"/>
        <item x="6"/>
        <item x="63"/>
        <item x="37"/>
        <item x="230"/>
        <item x="255"/>
        <item x="277"/>
        <item x="138"/>
        <item x="89"/>
        <item x="114"/>
        <item x="17"/>
        <item x="187"/>
        <item x="90"/>
        <item x="139"/>
        <item x="18"/>
        <item x="38"/>
        <item x="64"/>
        <item x="231"/>
        <item x="208"/>
        <item x="256"/>
        <item x="278"/>
        <item x="13"/>
        <item x="115"/>
        <item x="164"/>
        <item x="91"/>
        <item x="188"/>
        <item x="19"/>
        <item x="209"/>
        <item x="116"/>
        <item x="257"/>
        <item x="279"/>
        <item x="140"/>
        <item x="65"/>
        <item x="39"/>
        <item x="92"/>
        <item x="210"/>
        <item x="141"/>
        <item x="232"/>
        <item x="258"/>
        <item x="40"/>
        <item x="66"/>
        <item x="117"/>
        <item x="5"/>
        <item x="165"/>
        <item x="14"/>
        <item x="67"/>
        <item x="211"/>
        <item x="189"/>
        <item x="259"/>
        <item x="20"/>
        <item x="93"/>
        <item x="233"/>
        <item x="41"/>
        <item x="142"/>
        <item x="166"/>
        <item x="143"/>
        <item x="94"/>
        <item x="212"/>
        <item x="167"/>
        <item x="68"/>
        <item x="42"/>
        <item x="234"/>
        <item x="118"/>
        <item x="21"/>
        <item x="260"/>
        <item x="144"/>
        <item x="190"/>
        <item x="213"/>
        <item x="168"/>
        <item x="43"/>
        <item x="235"/>
        <item x="119"/>
        <item x="95"/>
        <item x="22"/>
        <item x="69"/>
        <item x="145"/>
        <item x="191"/>
        <item x="169"/>
        <item x="120"/>
        <item x="261"/>
        <item x="96"/>
        <item x="236"/>
        <item x="0"/>
        <item x="23"/>
        <item x="44"/>
        <item x="70"/>
        <item x="71"/>
        <item x="97"/>
        <item x="170"/>
        <item x="262"/>
        <item x="237"/>
        <item x="146"/>
        <item x="45"/>
        <item x="24"/>
        <item x="121"/>
        <item x="12"/>
        <item x="2"/>
        <item x="192"/>
        <item x="72"/>
        <item x="263"/>
        <item x="171"/>
        <item x="238"/>
        <item x="46"/>
        <item x="98"/>
        <item x="214"/>
        <item x="147"/>
        <item x="193"/>
        <item x="264"/>
        <item x="99"/>
        <item x="172"/>
        <item x="47"/>
        <item x="122"/>
        <item x="11"/>
        <item x="239"/>
        <item x="148"/>
        <item x="215"/>
        <item x="1"/>
        <item x="25"/>
        <item x="73"/>
        <item x="123"/>
        <item x="216"/>
        <item x="265"/>
        <item x="149"/>
        <item x="240"/>
        <item x="194"/>
        <item x="26"/>
        <item x="48"/>
        <item x="173"/>
        <item x="100"/>
        <item x="74"/>
        <item x="195"/>
        <item x="174"/>
        <item x="124"/>
        <item x="241"/>
        <item x="266"/>
        <item x="49"/>
        <item x="101"/>
        <item x="150"/>
        <item x="217"/>
        <item x="75"/>
        <item x="27"/>
        <item x="151"/>
        <item x="102"/>
        <item x="218"/>
        <item x="242"/>
        <item x="267"/>
        <item x="125"/>
        <item x="50"/>
        <item x="28"/>
        <item x="76"/>
        <item x="196"/>
        <item x="175"/>
        <item x="4"/>
        <item x="126"/>
        <item x="219"/>
        <item x="268"/>
        <item x="77"/>
        <item x="51"/>
        <item x="152"/>
        <item x="243"/>
        <item x="127"/>
        <item x="103"/>
        <item x="244"/>
        <item x="29"/>
        <item x="197"/>
        <item x="176"/>
        <item x="78"/>
        <item x="269"/>
        <item x="52"/>
        <item x="153"/>
        <item x="10"/>
        <item x="79"/>
        <item x="104"/>
        <item x="30"/>
        <item x="177"/>
        <item x="220"/>
        <item x="245"/>
        <item x="270"/>
        <item x="128"/>
        <item x="8"/>
        <item x="154"/>
        <item x="198"/>
        <item x="53"/>
        <item x="31"/>
        <item x="271"/>
        <item x="246"/>
        <item x="105"/>
        <item x="178"/>
        <item x="221"/>
        <item x="80"/>
        <item x="129"/>
        <item x="155"/>
        <item x="54"/>
        <item x="199"/>
        <item x="247"/>
        <item x="55"/>
        <item x="106"/>
        <item x="179"/>
        <item x="81"/>
        <item x="156"/>
        <item x="222"/>
        <item x="200"/>
        <item x="130"/>
        <item x="248"/>
        <item x="56"/>
        <item x="223"/>
        <item x="157"/>
        <item x="131"/>
        <item x="180"/>
        <item x="201"/>
        <item x="82"/>
        <item x="107"/>
        <item x="32"/>
        <item x="158"/>
        <item x="132"/>
        <item x="202"/>
        <item x="83"/>
        <item x="181"/>
        <item x="224"/>
        <item x="249"/>
        <item x="57"/>
        <item x="108"/>
        <item x="203"/>
        <item x="133"/>
        <item x="225"/>
        <item x="109"/>
        <item x="272"/>
        <item x="182"/>
        <item x="84"/>
        <item x="250"/>
        <item x="58"/>
        <item x="110"/>
        <item x="59"/>
        <item x="183"/>
        <item x="226"/>
        <item x="85"/>
        <item x="273"/>
        <item x="159"/>
        <item x="33"/>
        <item x="204"/>
        <item x="251"/>
        <item x="134"/>
        <item x="205"/>
        <item x="60"/>
        <item x="184"/>
        <item x="160"/>
        <item x="274"/>
        <item x="227"/>
        <item x="135"/>
        <item x="86"/>
        <item x="34"/>
        <item x="252"/>
        <item x="111"/>
        <item t="default"/>
      </items>
    </pivotField>
    <pivotField showAll="0">
      <items count="4">
        <item x="1"/>
        <item x="2"/>
        <item x="0"/>
        <item t="default"/>
      </items>
    </pivotField>
    <pivotField numFmtId="14" showAll="0">
      <items count="295">
        <item x="0"/>
        <item x="1"/>
        <item x="2"/>
        <item x="3"/>
        <item x="5"/>
        <item x="6"/>
        <item x="7"/>
        <item x="4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t="default"/>
      </items>
    </pivotField>
    <pivotField showAll="0">
      <items count="3">
        <item x="1"/>
        <item x="0"/>
        <item t="default"/>
      </items>
    </pivotField>
    <pivotField numFmtId="44" showAll="0"/>
    <pivotField showAll="0">
      <items count="4">
        <item x="1"/>
        <item x="0"/>
        <item x="2"/>
        <item t="default"/>
      </items>
    </pivotField>
    <pivotField showAll="0"/>
    <pivotField showAll="0">
      <items count="3">
        <item x="0"/>
        <item x="1"/>
        <item t="default"/>
      </items>
    </pivotField>
    <pivotField showAll="0"/>
    <pivotField numFmtId="44" showAll="0"/>
    <pivotField numFmtId="44" showAll="0"/>
    <pivotField dataField="1" numFmtId="44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Items count="1">
    <i/>
  </rowItems>
  <colItems count="1">
    <i/>
  </colItems>
  <dataFields count="1">
    <dataField name="Soma de Total Value" fld="12" baseField="0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ubscription_Type" xr10:uid="{C1AC8210-3CE9-44E0-963C-9922D0D2DE4E}" sourceName="Subscription Type">
  <pivotTables>
    <pivotTable tabId="3" name="tbl_annual_total"/>
    <pivotTable tabId="3" name="tbl_easeasonpass_total"/>
    <pivotTable tabId="3" name="Tabela dinâmica9"/>
    <pivotTable tabId="3" name="Tabela dinâmica1"/>
    <pivotTable tabId="3" name="Tabela dinâmica2"/>
    <pivotTable tabId="3" name="Tabela dinâmica3"/>
    <pivotTable tabId="3" name="Tabela dinâmica4"/>
  </pivotTables>
  <data>
    <tabular pivotCacheId="1765956580">
      <items count="3">
        <i x="1" s="1"/>
        <i x="0" s="1"/>
        <i x="2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ses__Start_Date" xr10:uid="{EC403ECD-D33A-4DEE-A71B-3AD9F4231B87}" sourceName="Meses (Start Date)">
  <pivotTables>
    <pivotTable tabId="3" name="Tabela dinâmica1"/>
    <pivotTable tabId="3" name="Tabela dinâmica2"/>
    <pivotTable tabId="3" name="Tabela dinâmica3"/>
    <pivotTable tabId="3" name="Tabela dinâmica9"/>
    <pivotTable tabId="3" name="tbl_annual_total"/>
    <pivotTable tabId="3" name="tbl_easeasonpass_total"/>
  </pivotTables>
  <data>
    <tabular pivotCacheId="1765956580">
      <items count="14"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ubscription Type" xr10:uid="{26A61517-A6D6-4A95-9864-F0B00789349A}" cache="SegmentaçãodeDados_Subscription_Type" caption="Subscription Type" style="SlicerStyleLight6 2" rowHeight="257175"/>
  <slicer name="Meses (Start Date)" xr10:uid="{7D695E3D-76C4-4600-8B8D-B56852CECB7B}" cache="SegmentaçãodeDados_Meses__Start_Date" caption="Meses (Start Date)" columnCount="2" style="SlicerStyleLight6 2" rowHeight="2476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E0E886-4200-4B36-97B3-63DB74FF40A0}" name="Tabela1" displayName="Tabela1" ref="A1:M296" totalsRowShown="0" dataDxfId="13">
  <autoFilter ref="A1:M296" xr:uid="{34E0E886-4200-4B36-97B3-63DB74FF40A0}"/>
  <tableColumns count="13">
    <tableColumn id="1" xr3:uid="{C4A90516-688A-46BF-9167-EA16C2A8A652}" name="Subscriber ID" dataDxfId="12"/>
    <tableColumn id="2" xr3:uid="{53DD39D0-2220-4121-9E9D-4EAA7E151C0F}" name="Name" dataDxfId="11"/>
    <tableColumn id="3" xr3:uid="{4F5FF271-4C57-4BE0-8F2C-F82C8551625C}" name="Plan" dataDxfId="10"/>
    <tableColumn id="4" xr3:uid="{8C17EB93-79B9-4E55-B8F7-BEB82F8253E9}" name="Start Date" dataDxfId="9"/>
    <tableColumn id="5" xr3:uid="{48CEDF9B-1689-482A-A828-5CCE7713264A}" name="Auto Renewal" dataDxfId="8"/>
    <tableColumn id="6" xr3:uid="{78B82374-9AA7-4E38-AE4F-78CDE6C83720}" name="Subscription Price" dataDxfId="7" dataCellStyle="Moeda"/>
    <tableColumn id="7" xr3:uid="{F2433F68-AF33-49D0-B1FB-19A396074EDE}" name="Subscription Type" dataDxfId="6"/>
    <tableColumn id="8" xr3:uid="{FD4D9C95-F6E5-4933-9068-A71FF7DF9343}" name="EA Play Season Pass" dataDxfId="5"/>
    <tableColumn id="13" xr3:uid="{978DD0D2-834E-4CE4-A39B-30976086932F}" name="EA Play Season Pass_x000a_Price" dataDxfId="4" dataCellStyle="Moeda"/>
    <tableColumn id="9" xr3:uid="{6E29F111-C395-4580-9DAD-3407D9E8B1A4}" name="Minecraft Season Pass" dataDxfId="3"/>
    <tableColumn id="10" xr3:uid="{EF544EAA-7F25-4FD5-A10E-8E62804DB9E3}" name="Minecraft Season Pass Price" dataDxfId="2" dataCellStyle="Moeda"/>
    <tableColumn id="11" xr3:uid="{7F6EB64A-1F07-4E48-9F0F-AC7D9DCD26F8}" name="Coupon Value" dataDxfId="1" dataCellStyle="Moeda"/>
    <tableColumn id="12" xr3:uid="{2B04ABC8-DE6F-426E-ADC0-D8AFC68CA58E}" name="Total Value" dataDxfId="0" dataCellStyle="Moeda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18745-D22C-475B-A007-B964F001EBFB}">
  <sheetPr codeName="Planilha1">
    <tabColor theme="3" tint="0.749992370372631"/>
  </sheetPr>
  <dimension ref="B3:P21"/>
  <sheetViews>
    <sheetView showGridLines="0" topLeftCell="A9" zoomScaleNormal="100" workbookViewId="0">
      <selection activeCell="J39" sqref="J39"/>
    </sheetView>
  </sheetViews>
  <sheetFormatPr defaultRowHeight="14.4" x14ac:dyDescent="0.3"/>
  <cols>
    <col min="9" max="9" width="3.5546875" customWidth="1"/>
  </cols>
  <sheetData>
    <row r="3" spans="2:16" ht="20.399999999999999" thickBot="1" x14ac:dyDescent="0.45">
      <c r="B3" s="1" t="s">
        <v>0</v>
      </c>
      <c r="C3" s="1"/>
      <c r="D3" s="1"/>
      <c r="E3" s="1"/>
      <c r="F3" s="1"/>
      <c r="G3" s="1"/>
      <c r="H3" s="1"/>
    </row>
    <row r="4" spans="2:16" ht="15" thickTop="1" x14ac:dyDescent="0.3"/>
    <row r="5" spans="2:16" x14ac:dyDescent="0.3">
      <c r="B5" s="3" t="s">
        <v>2</v>
      </c>
      <c r="C5" t="s">
        <v>8</v>
      </c>
      <c r="E5" s="7" t="s">
        <v>6</v>
      </c>
      <c r="F5" t="s">
        <v>7</v>
      </c>
    </row>
    <row r="6" spans="2:16" x14ac:dyDescent="0.3">
      <c r="B6" s="4" t="s">
        <v>3</v>
      </c>
      <c r="C6" t="s">
        <v>8</v>
      </c>
    </row>
    <row r="7" spans="2:16" x14ac:dyDescent="0.3">
      <c r="B7" s="5" t="s">
        <v>4</v>
      </c>
      <c r="C7" t="s">
        <v>9</v>
      </c>
    </row>
    <row r="8" spans="2:16" x14ac:dyDescent="0.3">
      <c r="B8" s="6" t="s">
        <v>5</v>
      </c>
      <c r="C8" t="s">
        <v>9</v>
      </c>
    </row>
    <row r="12" spans="2:16" ht="20.399999999999999" thickBot="1" x14ac:dyDescent="0.45">
      <c r="B12" s="1" t="s">
        <v>1</v>
      </c>
      <c r="C12" s="1"/>
      <c r="D12" s="1"/>
      <c r="E12" s="1"/>
      <c r="F12" s="1"/>
      <c r="G12" s="1"/>
      <c r="H12" s="1"/>
      <c r="J12" s="1" t="s">
        <v>10</v>
      </c>
      <c r="K12" s="1"/>
      <c r="L12" s="1"/>
      <c r="M12" s="1"/>
      <c r="N12" s="1"/>
      <c r="O12" s="1"/>
      <c r="P12" s="1"/>
    </row>
    <row r="13" spans="2:16" ht="15" thickTop="1" x14ac:dyDescent="0.3">
      <c r="B13" s="2"/>
      <c r="C13" s="2"/>
      <c r="D13" s="2"/>
      <c r="E13" s="2"/>
      <c r="F13" s="2"/>
      <c r="G13" s="2"/>
      <c r="H13" s="2"/>
    </row>
    <row r="14" spans="2:16" x14ac:dyDescent="0.3">
      <c r="B14" s="2"/>
      <c r="C14" s="2"/>
      <c r="D14" s="2"/>
      <c r="E14" s="2"/>
      <c r="F14" s="2"/>
      <c r="G14" s="2"/>
      <c r="H14" s="2"/>
    </row>
    <row r="15" spans="2:16" x14ac:dyDescent="0.3">
      <c r="B15" s="2"/>
      <c r="C15" s="2"/>
      <c r="D15" s="2"/>
      <c r="E15" s="2"/>
      <c r="F15" s="2"/>
      <c r="G15" s="2"/>
      <c r="H15" s="2"/>
    </row>
    <row r="16" spans="2:16" x14ac:dyDescent="0.3">
      <c r="B16" s="2"/>
      <c r="C16" s="2"/>
      <c r="D16" s="2"/>
      <c r="E16" s="2"/>
      <c r="F16" s="2"/>
      <c r="G16" s="2"/>
      <c r="H16" s="2"/>
    </row>
    <row r="17" spans="2:8" x14ac:dyDescent="0.3">
      <c r="B17" s="2"/>
      <c r="C17" s="2"/>
      <c r="D17" s="2"/>
      <c r="E17" s="2"/>
      <c r="F17" s="2"/>
      <c r="G17" s="2"/>
      <c r="H17" s="2"/>
    </row>
    <row r="18" spans="2:8" x14ac:dyDescent="0.3">
      <c r="B18" s="2"/>
      <c r="C18" s="2"/>
      <c r="D18" s="2"/>
      <c r="E18" s="2"/>
      <c r="F18" s="2"/>
      <c r="G18" s="2"/>
      <c r="H18" s="2"/>
    </row>
    <row r="19" spans="2:8" x14ac:dyDescent="0.3">
      <c r="B19" s="2"/>
      <c r="C19" s="2"/>
      <c r="D19" s="2"/>
      <c r="E19" s="2"/>
      <c r="F19" s="2"/>
      <c r="G19" s="2"/>
      <c r="H19" s="2"/>
    </row>
    <row r="20" spans="2:8" x14ac:dyDescent="0.3">
      <c r="B20" s="2"/>
      <c r="C20" s="2"/>
      <c r="D20" s="2"/>
      <c r="E20" s="2"/>
      <c r="F20" s="2"/>
      <c r="G20" s="2"/>
      <c r="H20" s="2"/>
    </row>
    <row r="21" spans="2:8" x14ac:dyDescent="0.3">
      <c r="B21" s="2"/>
      <c r="C21" s="2"/>
      <c r="D21" s="2"/>
      <c r="E21" s="2"/>
      <c r="F21" s="2"/>
      <c r="G21" s="2"/>
      <c r="H21" s="2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40718-600F-40D2-9E7A-13AED8C24C13}">
  <sheetPr codeName="Planilha2">
    <tabColor theme="3" tint="0.749992370372631"/>
  </sheetPr>
  <dimension ref="A1:M296"/>
  <sheetViews>
    <sheetView zoomScale="90" zoomScaleNormal="90" workbookViewId="0">
      <pane ySplit="1" topLeftCell="A79" activePane="bottomLeft" state="frozen"/>
      <selection activeCell="J39" sqref="J39"/>
      <selection pane="bottomLeft" activeCell="J39" sqref="J39"/>
    </sheetView>
  </sheetViews>
  <sheetFormatPr defaultRowHeight="14.4" x14ac:dyDescent="0.3"/>
  <cols>
    <col min="1" max="1" width="17.88671875" bestFit="1" customWidth="1"/>
    <col min="2" max="2" width="18.88671875" bestFit="1" customWidth="1"/>
    <col min="3" max="3" width="9.44140625" bestFit="1" customWidth="1"/>
    <col min="4" max="4" width="14.5546875" bestFit="1" customWidth="1"/>
    <col min="5" max="5" width="18" bestFit="1" customWidth="1"/>
    <col min="6" max="6" width="14.6640625" bestFit="1" customWidth="1"/>
    <col min="7" max="7" width="22" bestFit="1" customWidth="1"/>
    <col min="8" max="8" width="20.5546875" bestFit="1" customWidth="1"/>
    <col min="9" max="9" width="20.5546875" customWidth="1"/>
    <col min="10" max="10" width="16.6640625" bestFit="1" customWidth="1"/>
    <col min="11" max="11" width="21.33203125" bestFit="1" customWidth="1"/>
    <col min="12" max="12" width="12.6640625" bestFit="1" customWidth="1"/>
    <col min="13" max="13" width="9.6640625" customWidth="1"/>
  </cols>
  <sheetData>
    <row r="1" spans="1:13" ht="28.8" x14ac:dyDescent="0.3">
      <c r="A1" s="9" t="s">
        <v>11</v>
      </c>
      <c r="B1" s="9" t="s">
        <v>12</v>
      </c>
      <c r="C1" s="9" t="s">
        <v>13</v>
      </c>
      <c r="D1" s="9" t="s">
        <v>14</v>
      </c>
      <c r="E1" s="9" t="s">
        <v>15</v>
      </c>
      <c r="F1" s="9" t="s">
        <v>315</v>
      </c>
      <c r="G1" s="9" t="s">
        <v>16</v>
      </c>
      <c r="H1" s="9" t="s">
        <v>312</v>
      </c>
      <c r="I1" s="9" t="s">
        <v>313</v>
      </c>
      <c r="J1" s="9" t="s">
        <v>30</v>
      </c>
      <c r="K1" s="9" t="s">
        <v>31</v>
      </c>
      <c r="L1" s="9" t="s">
        <v>32</v>
      </c>
      <c r="M1" s="9" t="s">
        <v>33</v>
      </c>
    </row>
    <row r="2" spans="1:13" ht="16.5" customHeight="1" x14ac:dyDescent="0.3">
      <c r="A2" s="8">
        <v>3231</v>
      </c>
      <c r="B2" s="8" t="s">
        <v>17</v>
      </c>
      <c r="C2" s="8" t="s">
        <v>18</v>
      </c>
      <c r="D2" s="10">
        <v>45292</v>
      </c>
      <c r="E2" s="8" t="s">
        <v>19</v>
      </c>
      <c r="F2" s="11">
        <v>15</v>
      </c>
      <c r="G2" s="8" t="s">
        <v>20</v>
      </c>
      <c r="H2" s="8" t="s">
        <v>19</v>
      </c>
      <c r="I2" s="11">
        <v>30</v>
      </c>
      <c r="J2" s="8" t="s">
        <v>19</v>
      </c>
      <c r="K2" s="11">
        <v>20</v>
      </c>
      <c r="L2" s="11">
        <v>5</v>
      </c>
      <c r="M2" s="11">
        <v>60</v>
      </c>
    </row>
    <row r="3" spans="1:13" ht="16.5" customHeight="1" x14ac:dyDescent="0.3">
      <c r="A3" s="8">
        <v>3232</v>
      </c>
      <c r="B3" s="8" t="s">
        <v>21</v>
      </c>
      <c r="C3" s="8" t="s">
        <v>22</v>
      </c>
      <c r="D3" s="10">
        <v>45306</v>
      </c>
      <c r="E3" s="8" t="s">
        <v>23</v>
      </c>
      <c r="F3" s="11">
        <v>5</v>
      </c>
      <c r="G3" s="8" t="s">
        <v>24</v>
      </c>
      <c r="H3" s="8" t="s">
        <v>23</v>
      </c>
      <c r="I3" s="11" t="s">
        <v>314</v>
      </c>
      <c r="J3" s="8" t="s">
        <v>23</v>
      </c>
      <c r="K3" s="11">
        <v>0</v>
      </c>
      <c r="L3" s="11">
        <v>0</v>
      </c>
      <c r="M3" s="11">
        <v>5</v>
      </c>
    </row>
    <row r="4" spans="1:13" ht="16.5" customHeight="1" x14ac:dyDescent="0.3">
      <c r="A4" s="8">
        <v>3233</v>
      </c>
      <c r="B4" s="8" t="s">
        <v>25</v>
      </c>
      <c r="C4" s="8" t="s">
        <v>26</v>
      </c>
      <c r="D4" s="10">
        <v>45332</v>
      </c>
      <c r="E4" s="8" t="s">
        <v>19</v>
      </c>
      <c r="F4" s="11">
        <v>10</v>
      </c>
      <c r="G4" s="8" t="s">
        <v>27</v>
      </c>
      <c r="H4" s="8" t="s">
        <v>23</v>
      </c>
      <c r="I4" s="11" t="s">
        <v>314</v>
      </c>
      <c r="J4" s="8" t="s">
        <v>19</v>
      </c>
      <c r="K4" s="11">
        <v>20</v>
      </c>
      <c r="L4" s="11">
        <v>10</v>
      </c>
      <c r="M4" s="11">
        <v>20</v>
      </c>
    </row>
    <row r="5" spans="1:13" ht="16.5" customHeight="1" x14ac:dyDescent="0.3">
      <c r="A5" s="8">
        <v>3234</v>
      </c>
      <c r="B5" s="8" t="s">
        <v>28</v>
      </c>
      <c r="C5" s="8" t="s">
        <v>18</v>
      </c>
      <c r="D5" s="10">
        <v>45342</v>
      </c>
      <c r="E5" s="8" t="s">
        <v>23</v>
      </c>
      <c r="F5" s="11">
        <v>15</v>
      </c>
      <c r="G5" s="8" t="s">
        <v>20</v>
      </c>
      <c r="H5" s="8" t="s">
        <v>19</v>
      </c>
      <c r="I5" s="11">
        <v>30</v>
      </c>
      <c r="J5" s="8" t="s">
        <v>19</v>
      </c>
      <c r="K5" s="11">
        <v>20</v>
      </c>
      <c r="L5" s="11">
        <v>3</v>
      </c>
      <c r="M5" s="11">
        <v>62</v>
      </c>
    </row>
    <row r="6" spans="1:13" ht="16.5" customHeight="1" x14ac:dyDescent="0.3">
      <c r="A6" s="8">
        <v>3235</v>
      </c>
      <c r="B6" s="8" t="s">
        <v>29</v>
      </c>
      <c r="C6" s="8" t="s">
        <v>22</v>
      </c>
      <c r="D6" s="10">
        <v>45356</v>
      </c>
      <c r="E6" s="8" t="s">
        <v>19</v>
      </c>
      <c r="F6" s="11">
        <v>5</v>
      </c>
      <c r="G6" s="8" t="s">
        <v>20</v>
      </c>
      <c r="H6" s="8" t="s">
        <v>23</v>
      </c>
      <c r="I6" s="11" t="s">
        <v>314</v>
      </c>
      <c r="J6" s="8" t="s">
        <v>23</v>
      </c>
      <c r="K6" s="11">
        <v>0</v>
      </c>
      <c r="L6" s="11">
        <v>1</v>
      </c>
      <c r="M6" s="11">
        <v>4</v>
      </c>
    </row>
    <row r="7" spans="1:13" ht="16.5" customHeight="1" x14ac:dyDescent="0.3">
      <c r="A7" s="8">
        <v>3236</v>
      </c>
      <c r="B7" s="8" t="s">
        <v>34</v>
      </c>
      <c r="C7" s="8" t="s">
        <v>26</v>
      </c>
      <c r="D7" s="10">
        <v>45353</v>
      </c>
      <c r="E7" s="8" t="s">
        <v>23</v>
      </c>
      <c r="F7" s="11">
        <v>10</v>
      </c>
      <c r="G7" s="8" t="s">
        <v>20</v>
      </c>
      <c r="H7" s="8" t="s">
        <v>23</v>
      </c>
      <c r="I7" s="11" t="s">
        <v>314</v>
      </c>
      <c r="J7" s="8" t="s">
        <v>19</v>
      </c>
      <c r="K7" s="11">
        <v>20</v>
      </c>
      <c r="L7" s="11">
        <v>2</v>
      </c>
      <c r="M7" s="11">
        <v>28</v>
      </c>
    </row>
    <row r="8" spans="1:13" ht="16.5" customHeight="1" x14ac:dyDescent="0.3">
      <c r="A8" s="8">
        <v>3237</v>
      </c>
      <c r="B8" s="8" t="s">
        <v>35</v>
      </c>
      <c r="C8" s="8" t="s">
        <v>18</v>
      </c>
      <c r="D8" s="10">
        <v>45354</v>
      </c>
      <c r="E8" s="8" t="s">
        <v>19</v>
      </c>
      <c r="F8" s="11">
        <v>15</v>
      </c>
      <c r="G8" s="8" t="s">
        <v>27</v>
      </c>
      <c r="H8" s="8" t="s">
        <v>19</v>
      </c>
      <c r="I8" s="11">
        <v>30</v>
      </c>
      <c r="J8" s="8" t="s">
        <v>19</v>
      </c>
      <c r="K8" s="11">
        <v>20</v>
      </c>
      <c r="L8" s="11">
        <v>10</v>
      </c>
      <c r="M8" s="11">
        <v>55</v>
      </c>
    </row>
    <row r="9" spans="1:13" ht="16.5" customHeight="1" x14ac:dyDescent="0.3">
      <c r="A9" s="8">
        <v>3238</v>
      </c>
      <c r="B9" s="8" t="s">
        <v>36</v>
      </c>
      <c r="C9" s="8" t="s">
        <v>22</v>
      </c>
      <c r="D9" s="10">
        <v>45355</v>
      </c>
      <c r="E9" s="8" t="s">
        <v>19</v>
      </c>
      <c r="F9" s="11">
        <v>5</v>
      </c>
      <c r="G9" s="8" t="s">
        <v>24</v>
      </c>
      <c r="H9" s="8" t="s">
        <v>23</v>
      </c>
      <c r="I9" s="11" t="s">
        <v>314</v>
      </c>
      <c r="J9" s="8" t="s">
        <v>23</v>
      </c>
      <c r="K9" s="11">
        <v>0</v>
      </c>
      <c r="L9" s="11">
        <v>0</v>
      </c>
      <c r="M9" s="11">
        <v>5</v>
      </c>
    </row>
    <row r="10" spans="1:13" ht="16.5" customHeight="1" x14ac:dyDescent="0.3">
      <c r="A10" s="8">
        <v>3239</v>
      </c>
      <c r="B10" s="8" t="s">
        <v>37</v>
      </c>
      <c r="C10" s="8" t="s">
        <v>18</v>
      </c>
      <c r="D10" s="10">
        <v>45356</v>
      </c>
      <c r="E10" s="8" t="s">
        <v>23</v>
      </c>
      <c r="F10" s="11">
        <v>15</v>
      </c>
      <c r="G10" s="8" t="s">
        <v>20</v>
      </c>
      <c r="H10" s="8" t="s">
        <v>19</v>
      </c>
      <c r="I10" s="11">
        <v>30</v>
      </c>
      <c r="J10" s="8" t="s">
        <v>19</v>
      </c>
      <c r="K10" s="11">
        <v>20</v>
      </c>
      <c r="L10" s="11">
        <v>5</v>
      </c>
      <c r="M10" s="11">
        <v>60</v>
      </c>
    </row>
    <row r="11" spans="1:13" ht="16.5" customHeight="1" x14ac:dyDescent="0.3">
      <c r="A11" s="8">
        <v>3240</v>
      </c>
      <c r="B11" s="8" t="s">
        <v>38</v>
      </c>
      <c r="C11" s="8" t="s">
        <v>26</v>
      </c>
      <c r="D11" s="10">
        <v>45357</v>
      </c>
      <c r="E11" s="8" t="s">
        <v>19</v>
      </c>
      <c r="F11" s="11">
        <v>10</v>
      </c>
      <c r="G11" s="8" t="s">
        <v>27</v>
      </c>
      <c r="H11" s="8" t="s">
        <v>23</v>
      </c>
      <c r="I11" s="11" t="s">
        <v>314</v>
      </c>
      <c r="J11" s="8" t="s">
        <v>19</v>
      </c>
      <c r="K11" s="11">
        <v>20</v>
      </c>
      <c r="L11" s="11">
        <v>15</v>
      </c>
      <c r="M11" s="11">
        <v>15</v>
      </c>
    </row>
    <row r="12" spans="1:13" ht="16.5" customHeight="1" x14ac:dyDescent="0.3">
      <c r="A12" s="8">
        <v>3241</v>
      </c>
      <c r="B12" s="8" t="s">
        <v>39</v>
      </c>
      <c r="C12" s="8" t="s">
        <v>22</v>
      </c>
      <c r="D12" s="10">
        <v>45358</v>
      </c>
      <c r="E12" s="8" t="s">
        <v>23</v>
      </c>
      <c r="F12" s="11">
        <v>5</v>
      </c>
      <c r="G12" s="8" t="s">
        <v>20</v>
      </c>
      <c r="H12" s="8" t="s">
        <v>23</v>
      </c>
      <c r="I12" s="11" t="s">
        <v>314</v>
      </c>
      <c r="J12" s="8" t="s">
        <v>23</v>
      </c>
      <c r="K12" s="11">
        <v>0</v>
      </c>
      <c r="L12" s="11">
        <v>1</v>
      </c>
      <c r="M12" s="11">
        <v>4</v>
      </c>
    </row>
    <row r="13" spans="1:13" ht="16.5" customHeight="1" x14ac:dyDescent="0.3">
      <c r="A13" s="8">
        <v>3242</v>
      </c>
      <c r="B13" s="8" t="s">
        <v>40</v>
      </c>
      <c r="C13" s="8" t="s">
        <v>18</v>
      </c>
      <c r="D13" s="10">
        <v>45359</v>
      </c>
      <c r="E13" s="8" t="s">
        <v>19</v>
      </c>
      <c r="F13" s="11">
        <v>15</v>
      </c>
      <c r="G13" s="8" t="s">
        <v>24</v>
      </c>
      <c r="H13" s="8" t="s">
        <v>19</v>
      </c>
      <c r="I13" s="11">
        <v>30</v>
      </c>
      <c r="J13" s="8" t="s">
        <v>19</v>
      </c>
      <c r="K13" s="11">
        <v>20</v>
      </c>
      <c r="L13" s="11">
        <v>20</v>
      </c>
      <c r="M13" s="11">
        <v>45</v>
      </c>
    </row>
    <row r="14" spans="1:13" ht="16.5" customHeight="1" x14ac:dyDescent="0.3">
      <c r="A14" s="8">
        <v>3243</v>
      </c>
      <c r="B14" s="8" t="s">
        <v>41</v>
      </c>
      <c r="C14" s="8" t="s">
        <v>26</v>
      </c>
      <c r="D14" s="10">
        <v>45360</v>
      </c>
      <c r="E14" s="8" t="s">
        <v>23</v>
      </c>
      <c r="F14" s="11">
        <v>10</v>
      </c>
      <c r="G14" s="8" t="s">
        <v>20</v>
      </c>
      <c r="H14" s="8" t="s">
        <v>23</v>
      </c>
      <c r="I14" s="11" t="s">
        <v>314</v>
      </c>
      <c r="J14" s="8" t="s">
        <v>19</v>
      </c>
      <c r="K14" s="11">
        <v>20</v>
      </c>
      <c r="L14" s="11">
        <v>10</v>
      </c>
      <c r="M14" s="11">
        <v>20</v>
      </c>
    </row>
    <row r="15" spans="1:13" ht="16.5" customHeight="1" x14ac:dyDescent="0.3">
      <c r="A15" s="8">
        <v>3244</v>
      </c>
      <c r="B15" s="8" t="s">
        <v>42</v>
      </c>
      <c r="C15" s="8" t="s">
        <v>22</v>
      </c>
      <c r="D15" s="10">
        <v>45361</v>
      </c>
      <c r="E15" s="8" t="s">
        <v>19</v>
      </c>
      <c r="F15" s="11">
        <v>5</v>
      </c>
      <c r="G15" s="8" t="s">
        <v>27</v>
      </c>
      <c r="H15" s="8" t="s">
        <v>23</v>
      </c>
      <c r="I15" s="11" t="s">
        <v>314</v>
      </c>
      <c r="J15" s="8" t="s">
        <v>23</v>
      </c>
      <c r="K15" s="11">
        <v>0</v>
      </c>
      <c r="L15" s="11">
        <v>0</v>
      </c>
      <c r="M15" s="11">
        <v>5</v>
      </c>
    </row>
    <row r="16" spans="1:13" ht="16.5" customHeight="1" x14ac:dyDescent="0.3">
      <c r="A16" s="8">
        <v>3245</v>
      </c>
      <c r="B16" s="8" t="s">
        <v>43</v>
      </c>
      <c r="C16" s="8" t="s">
        <v>18</v>
      </c>
      <c r="D16" s="10">
        <v>45362</v>
      </c>
      <c r="E16" s="8" t="s">
        <v>23</v>
      </c>
      <c r="F16" s="11">
        <v>15</v>
      </c>
      <c r="G16" s="8" t="s">
        <v>20</v>
      </c>
      <c r="H16" s="8" t="s">
        <v>19</v>
      </c>
      <c r="I16" s="11">
        <v>30</v>
      </c>
      <c r="J16" s="8" t="s">
        <v>19</v>
      </c>
      <c r="K16" s="11">
        <v>20</v>
      </c>
      <c r="L16" s="11">
        <v>8</v>
      </c>
      <c r="M16" s="11">
        <v>57</v>
      </c>
    </row>
    <row r="17" spans="1:13" ht="16.5" customHeight="1" x14ac:dyDescent="0.3">
      <c r="A17" s="8">
        <v>3246</v>
      </c>
      <c r="B17" s="8" t="s">
        <v>44</v>
      </c>
      <c r="C17" s="8" t="s">
        <v>26</v>
      </c>
      <c r="D17" s="10">
        <v>45363</v>
      </c>
      <c r="E17" s="8" t="s">
        <v>19</v>
      </c>
      <c r="F17" s="11">
        <v>10</v>
      </c>
      <c r="G17" s="8" t="s">
        <v>24</v>
      </c>
      <c r="H17" s="8" t="s">
        <v>23</v>
      </c>
      <c r="I17" s="11" t="s">
        <v>314</v>
      </c>
      <c r="J17" s="8" t="s">
        <v>19</v>
      </c>
      <c r="K17" s="11">
        <v>20</v>
      </c>
      <c r="L17" s="11">
        <v>12</v>
      </c>
      <c r="M17" s="11">
        <v>18</v>
      </c>
    </row>
    <row r="18" spans="1:13" ht="16.5" customHeight="1" x14ac:dyDescent="0.3">
      <c r="A18" s="8">
        <v>3247</v>
      </c>
      <c r="B18" s="8" t="s">
        <v>45</v>
      </c>
      <c r="C18" s="8" t="s">
        <v>22</v>
      </c>
      <c r="D18" s="10">
        <v>45364</v>
      </c>
      <c r="E18" s="8" t="s">
        <v>23</v>
      </c>
      <c r="F18" s="11">
        <v>5</v>
      </c>
      <c r="G18" s="8" t="s">
        <v>20</v>
      </c>
      <c r="H18" s="8" t="s">
        <v>23</v>
      </c>
      <c r="I18" s="11" t="s">
        <v>314</v>
      </c>
      <c r="J18" s="8" t="s">
        <v>23</v>
      </c>
      <c r="K18" s="11">
        <v>0</v>
      </c>
      <c r="L18" s="11">
        <v>2</v>
      </c>
      <c r="M18" s="11">
        <v>3</v>
      </c>
    </row>
    <row r="19" spans="1:13" ht="16.5" customHeight="1" x14ac:dyDescent="0.3">
      <c r="A19" s="8">
        <v>3248</v>
      </c>
      <c r="B19" s="8" t="s">
        <v>46</v>
      </c>
      <c r="C19" s="8" t="s">
        <v>18</v>
      </c>
      <c r="D19" s="10">
        <v>45365</v>
      </c>
      <c r="E19" s="8" t="s">
        <v>19</v>
      </c>
      <c r="F19" s="11">
        <v>15</v>
      </c>
      <c r="G19" s="8" t="s">
        <v>27</v>
      </c>
      <c r="H19" s="8" t="s">
        <v>19</v>
      </c>
      <c r="I19" s="11">
        <v>30</v>
      </c>
      <c r="J19" s="8" t="s">
        <v>19</v>
      </c>
      <c r="K19" s="11">
        <v>20</v>
      </c>
      <c r="L19" s="11">
        <v>7</v>
      </c>
      <c r="M19" s="11">
        <v>58</v>
      </c>
    </row>
    <row r="20" spans="1:13" ht="16.5" customHeight="1" x14ac:dyDescent="0.3">
      <c r="A20" s="8">
        <v>3249</v>
      </c>
      <c r="B20" s="8" t="s">
        <v>47</v>
      </c>
      <c r="C20" s="8" t="s">
        <v>26</v>
      </c>
      <c r="D20" s="10">
        <v>45366</v>
      </c>
      <c r="E20" s="8" t="s">
        <v>23</v>
      </c>
      <c r="F20" s="11">
        <v>10</v>
      </c>
      <c r="G20" s="8" t="s">
        <v>20</v>
      </c>
      <c r="H20" s="8" t="s">
        <v>23</v>
      </c>
      <c r="I20" s="11" t="s">
        <v>314</v>
      </c>
      <c r="J20" s="8" t="s">
        <v>19</v>
      </c>
      <c r="K20" s="11">
        <v>20</v>
      </c>
      <c r="L20" s="11">
        <v>5</v>
      </c>
      <c r="M20" s="11">
        <v>25</v>
      </c>
    </row>
    <row r="21" spans="1:13" ht="16.5" customHeight="1" x14ac:dyDescent="0.3">
      <c r="A21" s="8">
        <v>3250</v>
      </c>
      <c r="B21" s="8" t="s">
        <v>48</v>
      </c>
      <c r="C21" s="8" t="s">
        <v>22</v>
      </c>
      <c r="D21" s="10">
        <v>45367</v>
      </c>
      <c r="E21" s="8" t="s">
        <v>19</v>
      </c>
      <c r="F21" s="11">
        <v>5</v>
      </c>
      <c r="G21" s="8" t="s">
        <v>24</v>
      </c>
      <c r="H21" s="8" t="s">
        <v>23</v>
      </c>
      <c r="I21" s="11" t="s">
        <v>314</v>
      </c>
      <c r="J21" s="8" t="s">
        <v>23</v>
      </c>
      <c r="K21" s="11">
        <v>0</v>
      </c>
      <c r="L21" s="11">
        <v>0</v>
      </c>
      <c r="M21" s="11">
        <v>5</v>
      </c>
    </row>
    <row r="22" spans="1:13" ht="16.5" customHeight="1" x14ac:dyDescent="0.3">
      <c r="A22" s="8">
        <v>3251</v>
      </c>
      <c r="B22" s="8" t="s">
        <v>49</v>
      </c>
      <c r="C22" s="8" t="s">
        <v>18</v>
      </c>
      <c r="D22" s="10">
        <v>45368</v>
      </c>
      <c r="E22" s="8" t="s">
        <v>23</v>
      </c>
      <c r="F22" s="11">
        <v>15</v>
      </c>
      <c r="G22" s="8" t="s">
        <v>20</v>
      </c>
      <c r="H22" s="8" t="s">
        <v>19</v>
      </c>
      <c r="I22" s="11">
        <v>30</v>
      </c>
      <c r="J22" s="8" t="s">
        <v>19</v>
      </c>
      <c r="K22" s="11">
        <v>20</v>
      </c>
      <c r="L22" s="11">
        <v>3</v>
      </c>
      <c r="M22" s="11">
        <v>62</v>
      </c>
    </row>
    <row r="23" spans="1:13" ht="16.5" customHeight="1" x14ac:dyDescent="0.3">
      <c r="A23" s="8">
        <v>3252</v>
      </c>
      <c r="B23" s="8" t="s">
        <v>50</v>
      </c>
      <c r="C23" s="8" t="s">
        <v>26</v>
      </c>
      <c r="D23" s="10">
        <v>45369</v>
      </c>
      <c r="E23" s="8" t="s">
        <v>19</v>
      </c>
      <c r="F23" s="11">
        <v>10</v>
      </c>
      <c r="G23" s="8" t="s">
        <v>27</v>
      </c>
      <c r="H23" s="8" t="s">
        <v>23</v>
      </c>
      <c r="I23" s="11" t="s">
        <v>314</v>
      </c>
      <c r="J23" s="8" t="s">
        <v>19</v>
      </c>
      <c r="K23" s="11">
        <v>20</v>
      </c>
      <c r="L23" s="11">
        <v>15</v>
      </c>
      <c r="M23" s="11">
        <v>15</v>
      </c>
    </row>
    <row r="24" spans="1:13" ht="16.5" customHeight="1" x14ac:dyDescent="0.3">
      <c r="A24" s="8">
        <v>3253</v>
      </c>
      <c r="B24" s="8" t="s">
        <v>51</v>
      </c>
      <c r="C24" s="8" t="s">
        <v>22</v>
      </c>
      <c r="D24" s="10">
        <v>45370</v>
      </c>
      <c r="E24" s="8" t="s">
        <v>23</v>
      </c>
      <c r="F24" s="11">
        <v>5</v>
      </c>
      <c r="G24" s="8" t="s">
        <v>20</v>
      </c>
      <c r="H24" s="8" t="s">
        <v>23</v>
      </c>
      <c r="I24" s="11" t="s">
        <v>314</v>
      </c>
      <c r="J24" s="8" t="s">
        <v>23</v>
      </c>
      <c r="K24" s="11">
        <v>0</v>
      </c>
      <c r="L24" s="11">
        <v>1</v>
      </c>
      <c r="M24" s="11">
        <v>4</v>
      </c>
    </row>
    <row r="25" spans="1:13" ht="16.5" customHeight="1" x14ac:dyDescent="0.3">
      <c r="A25" s="8">
        <v>3254</v>
      </c>
      <c r="B25" s="8" t="s">
        <v>52</v>
      </c>
      <c r="C25" s="8" t="s">
        <v>18</v>
      </c>
      <c r="D25" s="10">
        <v>45371</v>
      </c>
      <c r="E25" s="8" t="s">
        <v>19</v>
      </c>
      <c r="F25" s="11">
        <v>15</v>
      </c>
      <c r="G25" s="8" t="s">
        <v>24</v>
      </c>
      <c r="H25" s="8" t="s">
        <v>19</v>
      </c>
      <c r="I25" s="11">
        <v>30</v>
      </c>
      <c r="J25" s="8" t="s">
        <v>19</v>
      </c>
      <c r="K25" s="11">
        <v>20</v>
      </c>
      <c r="L25" s="11">
        <v>20</v>
      </c>
      <c r="M25" s="11">
        <v>45</v>
      </c>
    </row>
    <row r="26" spans="1:13" ht="16.5" customHeight="1" x14ac:dyDescent="0.3">
      <c r="A26" s="8">
        <v>3255</v>
      </c>
      <c r="B26" s="8" t="s">
        <v>53</v>
      </c>
      <c r="C26" s="8" t="s">
        <v>26</v>
      </c>
      <c r="D26" s="10">
        <v>45372</v>
      </c>
      <c r="E26" s="8" t="s">
        <v>23</v>
      </c>
      <c r="F26" s="11">
        <v>10</v>
      </c>
      <c r="G26" s="8" t="s">
        <v>20</v>
      </c>
      <c r="H26" s="8" t="s">
        <v>23</v>
      </c>
      <c r="I26" s="11" t="s">
        <v>314</v>
      </c>
      <c r="J26" s="8" t="s">
        <v>19</v>
      </c>
      <c r="K26" s="11">
        <v>20</v>
      </c>
      <c r="L26" s="11">
        <v>10</v>
      </c>
      <c r="M26" s="11">
        <v>20</v>
      </c>
    </row>
    <row r="27" spans="1:13" ht="16.5" customHeight="1" x14ac:dyDescent="0.3">
      <c r="A27" s="8">
        <v>3256</v>
      </c>
      <c r="B27" s="8" t="s">
        <v>54</v>
      </c>
      <c r="C27" s="8" t="s">
        <v>22</v>
      </c>
      <c r="D27" s="10">
        <v>45373</v>
      </c>
      <c r="E27" s="8" t="s">
        <v>19</v>
      </c>
      <c r="F27" s="11">
        <v>5</v>
      </c>
      <c r="G27" s="8" t="s">
        <v>27</v>
      </c>
      <c r="H27" s="8" t="s">
        <v>23</v>
      </c>
      <c r="I27" s="11" t="s">
        <v>314</v>
      </c>
      <c r="J27" s="8" t="s">
        <v>23</v>
      </c>
      <c r="K27" s="11">
        <v>0</v>
      </c>
      <c r="L27" s="11">
        <v>0</v>
      </c>
      <c r="M27" s="11">
        <v>5</v>
      </c>
    </row>
    <row r="28" spans="1:13" ht="16.5" customHeight="1" x14ac:dyDescent="0.3">
      <c r="A28" s="8">
        <v>3257</v>
      </c>
      <c r="B28" s="8" t="s">
        <v>55</v>
      </c>
      <c r="C28" s="8" t="s">
        <v>18</v>
      </c>
      <c r="D28" s="10">
        <v>45374</v>
      </c>
      <c r="E28" s="8" t="s">
        <v>23</v>
      </c>
      <c r="F28" s="11">
        <v>15</v>
      </c>
      <c r="G28" s="8" t="s">
        <v>20</v>
      </c>
      <c r="H28" s="8" t="s">
        <v>19</v>
      </c>
      <c r="I28" s="11">
        <v>30</v>
      </c>
      <c r="J28" s="8" t="s">
        <v>19</v>
      </c>
      <c r="K28" s="11">
        <v>20</v>
      </c>
      <c r="L28" s="11">
        <v>5</v>
      </c>
      <c r="M28" s="11">
        <v>60</v>
      </c>
    </row>
    <row r="29" spans="1:13" ht="16.5" customHeight="1" x14ac:dyDescent="0.3">
      <c r="A29" s="8">
        <v>3258</v>
      </c>
      <c r="B29" s="8" t="s">
        <v>56</v>
      </c>
      <c r="C29" s="8" t="s">
        <v>26</v>
      </c>
      <c r="D29" s="10">
        <v>45375</v>
      </c>
      <c r="E29" s="8" t="s">
        <v>19</v>
      </c>
      <c r="F29" s="11">
        <v>10</v>
      </c>
      <c r="G29" s="8" t="s">
        <v>24</v>
      </c>
      <c r="H29" s="8" t="s">
        <v>23</v>
      </c>
      <c r="I29" s="11" t="s">
        <v>314</v>
      </c>
      <c r="J29" s="8" t="s">
        <v>19</v>
      </c>
      <c r="K29" s="11">
        <v>20</v>
      </c>
      <c r="L29" s="11">
        <v>15</v>
      </c>
      <c r="M29" s="11">
        <v>15</v>
      </c>
    </row>
    <row r="30" spans="1:13" ht="16.5" customHeight="1" x14ac:dyDescent="0.3">
      <c r="A30" s="8">
        <v>3259</v>
      </c>
      <c r="B30" s="8" t="s">
        <v>57</v>
      </c>
      <c r="C30" s="8" t="s">
        <v>22</v>
      </c>
      <c r="D30" s="10">
        <v>45376</v>
      </c>
      <c r="E30" s="8" t="s">
        <v>23</v>
      </c>
      <c r="F30" s="11">
        <v>5</v>
      </c>
      <c r="G30" s="8" t="s">
        <v>20</v>
      </c>
      <c r="H30" s="8" t="s">
        <v>23</v>
      </c>
      <c r="I30" s="11" t="s">
        <v>314</v>
      </c>
      <c r="J30" s="8" t="s">
        <v>23</v>
      </c>
      <c r="K30" s="11">
        <v>0</v>
      </c>
      <c r="L30" s="11">
        <v>1</v>
      </c>
      <c r="M30" s="11">
        <v>4</v>
      </c>
    </row>
    <row r="31" spans="1:13" ht="16.5" customHeight="1" x14ac:dyDescent="0.3">
      <c r="A31" s="8">
        <v>3260</v>
      </c>
      <c r="B31" s="8" t="s">
        <v>58</v>
      </c>
      <c r="C31" s="8" t="s">
        <v>18</v>
      </c>
      <c r="D31" s="10">
        <v>45377</v>
      </c>
      <c r="E31" s="8" t="s">
        <v>19</v>
      </c>
      <c r="F31" s="11">
        <v>15</v>
      </c>
      <c r="G31" s="8" t="s">
        <v>27</v>
      </c>
      <c r="H31" s="8" t="s">
        <v>19</v>
      </c>
      <c r="I31" s="11">
        <v>30</v>
      </c>
      <c r="J31" s="8" t="s">
        <v>19</v>
      </c>
      <c r="K31" s="11">
        <v>20</v>
      </c>
      <c r="L31" s="11">
        <v>7</v>
      </c>
      <c r="M31" s="11">
        <v>58</v>
      </c>
    </row>
    <row r="32" spans="1:13" ht="16.5" customHeight="1" x14ac:dyDescent="0.3">
      <c r="A32" s="8">
        <v>3261</v>
      </c>
      <c r="B32" s="8" t="s">
        <v>59</v>
      </c>
      <c r="C32" s="8" t="s">
        <v>26</v>
      </c>
      <c r="D32" s="10">
        <v>45378</v>
      </c>
      <c r="E32" s="8" t="s">
        <v>23</v>
      </c>
      <c r="F32" s="11">
        <v>10</v>
      </c>
      <c r="G32" s="8" t="s">
        <v>20</v>
      </c>
      <c r="H32" s="8" t="s">
        <v>23</v>
      </c>
      <c r="I32" s="11" t="s">
        <v>314</v>
      </c>
      <c r="J32" s="8" t="s">
        <v>19</v>
      </c>
      <c r="K32" s="11">
        <v>20</v>
      </c>
      <c r="L32" s="11">
        <v>10</v>
      </c>
      <c r="M32" s="11">
        <v>20</v>
      </c>
    </row>
    <row r="33" spans="1:13" ht="16.5" customHeight="1" x14ac:dyDescent="0.3">
      <c r="A33" s="8">
        <v>3262</v>
      </c>
      <c r="B33" s="8" t="s">
        <v>60</v>
      </c>
      <c r="C33" s="8" t="s">
        <v>22</v>
      </c>
      <c r="D33" s="10">
        <v>45379</v>
      </c>
      <c r="E33" s="8" t="s">
        <v>19</v>
      </c>
      <c r="F33" s="11">
        <v>5</v>
      </c>
      <c r="G33" s="8" t="s">
        <v>24</v>
      </c>
      <c r="H33" s="8" t="s">
        <v>23</v>
      </c>
      <c r="I33" s="11" t="s">
        <v>314</v>
      </c>
      <c r="J33" s="8" t="s">
        <v>23</v>
      </c>
      <c r="K33" s="11">
        <v>0</v>
      </c>
      <c r="L33" s="11">
        <v>0</v>
      </c>
      <c r="M33" s="11">
        <v>5</v>
      </c>
    </row>
    <row r="34" spans="1:13" ht="16.5" customHeight="1" x14ac:dyDescent="0.3">
      <c r="A34" s="8">
        <v>3263</v>
      </c>
      <c r="B34" s="8" t="s">
        <v>61</v>
      </c>
      <c r="C34" s="8" t="s">
        <v>18</v>
      </c>
      <c r="D34" s="10">
        <v>45380</v>
      </c>
      <c r="E34" s="8" t="s">
        <v>23</v>
      </c>
      <c r="F34" s="11">
        <v>15</v>
      </c>
      <c r="G34" s="8" t="s">
        <v>20</v>
      </c>
      <c r="H34" s="8" t="s">
        <v>19</v>
      </c>
      <c r="I34" s="11">
        <v>30</v>
      </c>
      <c r="J34" s="8" t="s">
        <v>19</v>
      </c>
      <c r="K34" s="11">
        <v>20</v>
      </c>
      <c r="L34" s="11">
        <v>3</v>
      </c>
      <c r="M34" s="11">
        <v>62</v>
      </c>
    </row>
    <row r="35" spans="1:13" ht="16.5" customHeight="1" x14ac:dyDescent="0.3">
      <c r="A35" s="8">
        <v>3264</v>
      </c>
      <c r="B35" s="8" t="s">
        <v>62</v>
      </c>
      <c r="C35" s="8" t="s">
        <v>26</v>
      </c>
      <c r="D35" s="10">
        <v>45381</v>
      </c>
      <c r="E35" s="8" t="s">
        <v>19</v>
      </c>
      <c r="F35" s="11">
        <v>10</v>
      </c>
      <c r="G35" s="8" t="s">
        <v>27</v>
      </c>
      <c r="H35" s="8" t="s">
        <v>23</v>
      </c>
      <c r="I35" s="11" t="s">
        <v>314</v>
      </c>
      <c r="J35" s="8" t="s">
        <v>19</v>
      </c>
      <c r="K35" s="11">
        <v>20</v>
      </c>
      <c r="L35" s="11">
        <v>15</v>
      </c>
      <c r="M35" s="11">
        <v>15</v>
      </c>
    </row>
    <row r="36" spans="1:13" ht="16.5" customHeight="1" x14ac:dyDescent="0.3">
      <c r="A36" s="8">
        <v>3265</v>
      </c>
      <c r="B36" s="8" t="s">
        <v>63</v>
      </c>
      <c r="C36" s="8" t="s">
        <v>22</v>
      </c>
      <c r="D36" s="10">
        <v>45382</v>
      </c>
      <c r="E36" s="8" t="s">
        <v>23</v>
      </c>
      <c r="F36" s="11">
        <v>5</v>
      </c>
      <c r="G36" s="8" t="s">
        <v>20</v>
      </c>
      <c r="H36" s="8" t="s">
        <v>23</v>
      </c>
      <c r="I36" s="11" t="s">
        <v>314</v>
      </c>
      <c r="J36" s="8" t="s">
        <v>23</v>
      </c>
      <c r="K36" s="11">
        <v>0</v>
      </c>
      <c r="L36" s="11">
        <v>1</v>
      </c>
      <c r="M36" s="11">
        <v>4</v>
      </c>
    </row>
    <row r="37" spans="1:13" ht="16.5" customHeight="1" x14ac:dyDescent="0.3">
      <c r="A37" s="8">
        <v>3266</v>
      </c>
      <c r="B37" s="8" t="s">
        <v>64</v>
      </c>
      <c r="C37" s="8" t="s">
        <v>22</v>
      </c>
      <c r="D37" s="10">
        <v>45383</v>
      </c>
      <c r="E37" s="8" t="s">
        <v>19</v>
      </c>
      <c r="F37" s="11">
        <v>5</v>
      </c>
      <c r="G37" s="8" t="s">
        <v>20</v>
      </c>
      <c r="H37" s="8" t="s">
        <v>23</v>
      </c>
      <c r="I37" s="11" t="s">
        <v>314</v>
      </c>
      <c r="J37" s="8" t="s">
        <v>23</v>
      </c>
      <c r="K37" s="11">
        <v>0</v>
      </c>
      <c r="L37" s="11">
        <v>0</v>
      </c>
      <c r="M37" s="11">
        <v>5</v>
      </c>
    </row>
    <row r="38" spans="1:13" ht="16.5" customHeight="1" x14ac:dyDescent="0.3">
      <c r="A38" s="8">
        <v>3267</v>
      </c>
      <c r="B38" s="8" t="s">
        <v>65</v>
      </c>
      <c r="C38" s="8" t="s">
        <v>18</v>
      </c>
      <c r="D38" s="10">
        <v>45384</v>
      </c>
      <c r="E38" s="8" t="s">
        <v>23</v>
      </c>
      <c r="F38" s="11">
        <v>15</v>
      </c>
      <c r="G38" s="8" t="s">
        <v>27</v>
      </c>
      <c r="H38" s="8" t="s">
        <v>19</v>
      </c>
      <c r="I38" s="11">
        <v>30</v>
      </c>
      <c r="J38" s="8" t="s">
        <v>19</v>
      </c>
      <c r="K38" s="11">
        <v>20</v>
      </c>
      <c r="L38" s="11">
        <v>7</v>
      </c>
      <c r="M38" s="11">
        <v>58</v>
      </c>
    </row>
    <row r="39" spans="1:13" ht="16.5" customHeight="1" x14ac:dyDescent="0.3">
      <c r="A39" s="8">
        <v>3268</v>
      </c>
      <c r="B39" s="8" t="s">
        <v>66</v>
      </c>
      <c r="C39" s="8" t="s">
        <v>26</v>
      </c>
      <c r="D39" s="10">
        <v>45385</v>
      </c>
      <c r="E39" s="8" t="s">
        <v>19</v>
      </c>
      <c r="F39" s="11">
        <v>10</v>
      </c>
      <c r="G39" s="8" t="s">
        <v>24</v>
      </c>
      <c r="H39" s="8" t="s">
        <v>23</v>
      </c>
      <c r="I39" s="11" t="s">
        <v>314</v>
      </c>
      <c r="J39" s="8" t="s">
        <v>19</v>
      </c>
      <c r="K39" s="11">
        <v>20</v>
      </c>
      <c r="L39" s="11">
        <v>10</v>
      </c>
      <c r="M39" s="11">
        <v>20</v>
      </c>
    </row>
    <row r="40" spans="1:13" ht="16.5" customHeight="1" x14ac:dyDescent="0.3">
      <c r="A40" s="8">
        <v>3269</v>
      </c>
      <c r="B40" s="8" t="s">
        <v>67</v>
      </c>
      <c r="C40" s="8" t="s">
        <v>22</v>
      </c>
      <c r="D40" s="10">
        <v>45386</v>
      </c>
      <c r="E40" s="8" t="s">
        <v>23</v>
      </c>
      <c r="F40" s="11">
        <v>5</v>
      </c>
      <c r="G40" s="8" t="s">
        <v>27</v>
      </c>
      <c r="H40" s="8" t="s">
        <v>23</v>
      </c>
      <c r="I40" s="11" t="s">
        <v>314</v>
      </c>
      <c r="J40" s="8" t="s">
        <v>23</v>
      </c>
      <c r="K40" s="11">
        <v>0</v>
      </c>
      <c r="L40" s="11">
        <v>1</v>
      </c>
      <c r="M40" s="11">
        <v>4</v>
      </c>
    </row>
    <row r="41" spans="1:13" ht="16.5" customHeight="1" x14ac:dyDescent="0.3">
      <c r="A41" s="8">
        <v>3270</v>
      </c>
      <c r="B41" s="8" t="s">
        <v>68</v>
      </c>
      <c r="C41" s="8" t="s">
        <v>18</v>
      </c>
      <c r="D41" s="10">
        <v>45387</v>
      </c>
      <c r="E41" s="8" t="s">
        <v>19</v>
      </c>
      <c r="F41" s="11">
        <v>15</v>
      </c>
      <c r="G41" s="8" t="s">
        <v>20</v>
      </c>
      <c r="H41" s="8" t="s">
        <v>19</v>
      </c>
      <c r="I41" s="11">
        <v>30</v>
      </c>
      <c r="J41" s="8" t="s">
        <v>19</v>
      </c>
      <c r="K41" s="11">
        <v>20</v>
      </c>
      <c r="L41" s="11">
        <v>15</v>
      </c>
      <c r="M41" s="11">
        <v>50</v>
      </c>
    </row>
    <row r="42" spans="1:13" ht="16.5" customHeight="1" x14ac:dyDescent="0.3">
      <c r="A42" s="8">
        <v>3271</v>
      </c>
      <c r="B42" s="8" t="s">
        <v>69</v>
      </c>
      <c r="C42" s="8" t="s">
        <v>26</v>
      </c>
      <c r="D42" s="10">
        <v>45388</v>
      </c>
      <c r="E42" s="8" t="s">
        <v>23</v>
      </c>
      <c r="F42" s="11">
        <v>10</v>
      </c>
      <c r="G42" s="8" t="s">
        <v>20</v>
      </c>
      <c r="H42" s="8" t="s">
        <v>23</v>
      </c>
      <c r="I42" s="11" t="s">
        <v>314</v>
      </c>
      <c r="J42" s="8" t="s">
        <v>19</v>
      </c>
      <c r="K42" s="11">
        <v>20</v>
      </c>
      <c r="L42" s="11">
        <v>5</v>
      </c>
      <c r="M42" s="11">
        <v>25</v>
      </c>
    </row>
    <row r="43" spans="1:13" ht="16.5" customHeight="1" x14ac:dyDescent="0.3">
      <c r="A43" s="8">
        <v>3272</v>
      </c>
      <c r="B43" s="8" t="s">
        <v>70</v>
      </c>
      <c r="C43" s="8" t="s">
        <v>22</v>
      </c>
      <c r="D43" s="10">
        <v>45389</v>
      </c>
      <c r="E43" s="8" t="s">
        <v>19</v>
      </c>
      <c r="F43" s="11">
        <v>5</v>
      </c>
      <c r="G43" s="8" t="s">
        <v>24</v>
      </c>
      <c r="H43" s="8" t="s">
        <v>23</v>
      </c>
      <c r="I43" s="11" t="s">
        <v>314</v>
      </c>
      <c r="J43" s="8" t="s">
        <v>23</v>
      </c>
      <c r="K43" s="11">
        <v>0</v>
      </c>
      <c r="L43" s="11">
        <v>0</v>
      </c>
      <c r="M43" s="11">
        <v>5</v>
      </c>
    </row>
    <row r="44" spans="1:13" ht="16.5" customHeight="1" x14ac:dyDescent="0.3">
      <c r="A44" s="8">
        <v>3273</v>
      </c>
      <c r="B44" s="8" t="s">
        <v>71</v>
      </c>
      <c r="C44" s="8" t="s">
        <v>18</v>
      </c>
      <c r="D44" s="10">
        <v>45390</v>
      </c>
      <c r="E44" s="8" t="s">
        <v>23</v>
      </c>
      <c r="F44" s="11">
        <v>15</v>
      </c>
      <c r="G44" s="8" t="s">
        <v>27</v>
      </c>
      <c r="H44" s="8" t="s">
        <v>19</v>
      </c>
      <c r="I44" s="11">
        <v>30</v>
      </c>
      <c r="J44" s="8" t="s">
        <v>19</v>
      </c>
      <c r="K44" s="11">
        <v>20</v>
      </c>
      <c r="L44" s="11">
        <v>20</v>
      </c>
      <c r="M44" s="11">
        <v>45</v>
      </c>
    </row>
    <row r="45" spans="1:13" ht="16.5" customHeight="1" x14ac:dyDescent="0.3">
      <c r="A45" s="8">
        <v>3274</v>
      </c>
      <c r="B45" s="8" t="s">
        <v>72</v>
      </c>
      <c r="C45" s="8" t="s">
        <v>26</v>
      </c>
      <c r="D45" s="10">
        <v>45391</v>
      </c>
      <c r="E45" s="8" t="s">
        <v>19</v>
      </c>
      <c r="F45" s="11">
        <v>10</v>
      </c>
      <c r="G45" s="8" t="s">
        <v>27</v>
      </c>
      <c r="H45" s="8" t="s">
        <v>23</v>
      </c>
      <c r="I45" s="11" t="s">
        <v>314</v>
      </c>
      <c r="J45" s="8" t="s">
        <v>19</v>
      </c>
      <c r="K45" s="11">
        <v>20</v>
      </c>
      <c r="L45" s="11">
        <v>12</v>
      </c>
      <c r="M45" s="11">
        <v>18</v>
      </c>
    </row>
    <row r="46" spans="1:13" ht="16.5" customHeight="1" x14ac:dyDescent="0.3">
      <c r="A46" s="8">
        <v>3275</v>
      </c>
      <c r="B46" s="8" t="s">
        <v>73</v>
      </c>
      <c r="C46" s="8" t="s">
        <v>22</v>
      </c>
      <c r="D46" s="10">
        <v>45392</v>
      </c>
      <c r="E46" s="8" t="s">
        <v>23</v>
      </c>
      <c r="F46" s="11">
        <v>5</v>
      </c>
      <c r="G46" s="8" t="s">
        <v>20</v>
      </c>
      <c r="H46" s="8" t="s">
        <v>23</v>
      </c>
      <c r="I46" s="11" t="s">
        <v>314</v>
      </c>
      <c r="J46" s="8" t="s">
        <v>23</v>
      </c>
      <c r="K46" s="11">
        <v>0</v>
      </c>
      <c r="L46" s="11">
        <v>2</v>
      </c>
      <c r="M46" s="11">
        <v>3</v>
      </c>
    </row>
    <row r="47" spans="1:13" ht="16.5" customHeight="1" x14ac:dyDescent="0.3">
      <c r="A47" s="8">
        <v>3276</v>
      </c>
      <c r="B47" s="8" t="s">
        <v>74</v>
      </c>
      <c r="C47" s="8" t="s">
        <v>18</v>
      </c>
      <c r="D47" s="10">
        <v>45393</v>
      </c>
      <c r="E47" s="8" t="s">
        <v>19</v>
      </c>
      <c r="F47" s="11">
        <v>15</v>
      </c>
      <c r="G47" s="8" t="s">
        <v>24</v>
      </c>
      <c r="H47" s="8" t="s">
        <v>19</v>
      </c>
      <c r="I47" s="11">
        <v>30</v>
      </c>
      <c r="J47" s="8" t="s">
        <v>19</v>
      </c>
      <c r="K47" s="11">
        <v>20</v>
      </c>
      <c r="L47" s="11">
        <v>5</v>
      </c>
      <c r="M47" s="11">
        <v>60</v>
      </c>
    </row>
    <row r="48" spans="1:13" ht="16.5" customHeight="1" x14ac:dyDescent="0.3">
      <c r="A48" s="8">
        <v>3277</v>
      </c>
      <c r="B48" s="8" t="s">
        <v>75</v>
      </c>
      <c r="C48" s="8" t="s">
        <v>26</v>
      </c>
      <c r="D48" s="10">
        <v>45394</v>
      </c>
      <c r="E48" s="8" t="s">
        <v>23</v>
      </c>
      <c r="F48" s="11">
        <v>10</v>
      </c>
      <c r="G48" s="8" t="s">
        <v>20</v>
      </c>
      <c r="H48" s="8" t="s">
        <v>23</v>
      </c>
      <c r="I48" s="11" t="s">
        <v>314</v>
      </c>
      <c r="J48" s="8" t="s">
        <v>19</v>
      </c>
      <c r="K48" s="11">
        <v>20</v>
      </c>
      <c r="L48" s="11">
        <v>10</v>
      </c>
      <c r="M48" s="11">
        <v>20</v>
      </c>
    </row>
    <row r="49" spans="1:13" ht="16.5" customHeight="1" x14ac:dyDescent="0.3">
      <c r="A49" s="8">
        <v>3278</v>
      </c>
      <c r="B49" s="8" t="s">
        <v>76</v>
      </c>
      <c r="C49" s="8" t="s">
        <v>22</v>
      </c>
      <c r="D49" s="10">
        <v>45395</v>
      </c>
      <c r="E49" s="8" t="s">
        <v>19</v>
      </c>
      <c r="F49" s="11">
        <v>5</v>
      </c>
      <c r="G49" s="8" t="s">
        <v>27</v>
      </c>
      <c r="H49" s="8" t="s">
        <v>23</v>
      </c>
      <c r="I49" s="11" t="s">
        <v>314</v>
      </c>
      <c r="J49" s="8" t="s">
        <v>23</v>
      </c>
      <c r="K49" s="11">
        <v>0</v>
      </c>
      <c r="L49" s="11">
        <v>0</v>
      </c>
      <c r="M49" s="11">
        <v>5</v>
      </c>
    </row>
    <row r="50" spans="1:13" ht="16.5" customHeight="1" x14ac:dyDescent="0.3">
      <c r="A50" s="8">
        <v>3279</v>
      </c>
      <c r="B50" s="8" t="s">
        <v>77</v>
      </c>
      <c r="C50" s="8" t="s">
        <v>18</v>
      </c>
      <c r="D50" s="10">
        <v>45396</v>
      </c>
      <c r="E50" s="8" t="s">
        <v>23</v>
      </c>
      <c r="F50" s="11">
        <v>15</v>
      </c>
      <c r="G50" s="8" t="s">
        <v>20</v>
      </c>
      <c r="H50" s="8" t="s">
        <v>19</v>
      </c>
      <c r="I50" s="11">
        <v>30</v>
      </c>
      <c r="J50" s="8" t="s">
        <v>19</v>
      </c>
      <c r="K50" s="11">
        <v>20</v>
      </c>
      <c r="L50" s="11">
        <v>3</v>
      </c>
      <c r="M50" s="11">
        <v>62</v>
      </c>
    </row>
    <row r="51" spans="1:13" ht="16.5" customHeight="1" x14ac:dyDescent="0.3">
      <c r="A51" s="8">
        <v>3280</v>
      </c>
      <c r="B51" s="8" t="s">
        <v>78</v>
      </c>
      <c r="C51" s="8" t="s">
        <v>26</v>
      </c>
      <c r="D51" s="10">
        <v>45397</v>
      </c>
      <c r="E51" s="8" t="s">
        <v>19</v>
      </c>
      <c r="F51" s="11">
        <v>10</v>
      </c>
      <c r="G51" s="8" t="s">
        <v>24</v>
      </c>
      <c r="H51" s="8" t="s">
        <v>23</v>
      </c>
      <c r="I51" s="11" t="s">
        <v>314</v>
      </c>
      <c r="J51" s="8" t="s">
        <v>19</v>
      </c>
      <c r="K51" s="11">
        <v>20</v>
      </c>
      <c r="L51" s="11">
        <v>15</v>
      </c>
      <c r="M51" s="11">
        <v>15</v>
      </c>
    </row>
    <row r="52" spans="1:13" ht="16.5" customHeight="1" x14ac:dyDescent="0.3">
      <c r="A52" s="8">
        <v>3281</v>
      </c>
      <c r="B52" s="8" t="s">
        <v>79</v>
      </c>
      <c r="C52" s="8" t="s">
        <v>22</v>
      </c>
      <c r="D52" s="10">
        <v>45398</v>
      </c>
      <c r="E52" s="8" t="s">
        <v>23</v>
      </c>
      <c r="F52" s="11">
        <v>5</v>
      </c>
      <c r="G52" s="8" t="s">
        <v>20</v>
      </c>
      <c r="H52" s="8" t="s">
        <v>23</v>
      </c>
      <c r="I52" s="11" t="s">
        <v>314</v>
      </c>
      <c r="J52" s="8" t="s">
        <v>23</v>
      </c>
      <c r="K52" s="11">
        <v>0</v>
      </c>
      <c r="L52" s="11">
        <v>1</v>
      </c>
      <c r="M52" s="11">
        <v>4</v>
      </c>
    </row>
    <row r="53" spans="1:13" ht="16.5" customHeight="1" x14ac:dyDescent="0.3">
      <c r="A53" s="8">
        <v>3282</v>
      </c>
      <c r="B53" s="8" t="s">
        <v>80</v>
      </c>
      <c r="C53" s="8" t="s">
        <v>18</v>
      </c>
      <c r="D53" s="10">
        <v>45399</v>
      </c>
      <c r="E53" s="8" t="s">
        <v>19</v>
      </c>
      <c r="F53" s="11">
        <v>15</v>
      </c>
      <c r="G53" s="8" t="s">
        <v>27</v>
      </c>
      <c r="H53" s="8" t="s">
        <v>19</v>
      </c>
      <c r="I53" s="11">
        <v>30</v>
      </c>
      <c r="J53" s="8" t="s">
        <v>19</v>
      </c>
      <c r="K53" s="11">
        <v>20</v>
      </c>
      <c r="L53" s="11">
        <v>7</v>
      </c>
      <c r="M53" s="11">
        <v>58</v>
      </c>
    </row>
    <row r="54" spans="1:13" ht="16.5" customHeight="1" x14ac:dyDescent="0.3">
      <c r="A54" s="8">
        <v>3283</v>
      </c>
      <c r="B54" s="8" t="s">
        <v>81</v>
      </c>
      <c r="C54" s="8" t="s">
        <v>26</v>
      </c>
      <c r="D54" s="10">
        <v>45400</v>
      </c>
      <c r="E54" s="8" t="s">
        <v>23</v>
      </c>
      <c r="F54" s="11">
        <v>10</v>
      </c>
      <c r="G54" s="8" t="s">
        <v>20</v>
      </c>
      <c r="H54" s="8" t="s">
        <v>23</v>
      </c>
      <c r="I54" s="11" t="s">
        <v>314</v>
      </c>
      <c r="J54" s="8" t="s">
        <v>19</v>
      </c>
      <c r="K54" s="11">
        <v>20</v>
      </c>
      <c r="L54" s="11">
        <v>10</v>
      </c>
      <c r="M54" s="11">
        <v>20</v>
      </c>
    </row>
    <row r="55" spans="1:13" ht="16.5" customHeight="1" x14ac:dyDescent="0.3">
      <c r="A55" s="8">
        <v>3284</v>
      </c>
      <c r="B55" s="8" t="s">
        <v>82</v>
      </c>
      <c r="C55" s="8" t="s">
        <v>22</v>
      </c>
      <c r="D55" s="10">
        <v>45401</v>
      </c>
      <c r="E55" s="8" t="s">
        <v>19</v>
      </c>
      <c r="F55" s="11">
        <v>5</v>
      </c>
      <c r="G55" s="8" t="s">
        <v>24</v>
      </c>
      <c r="H55" s="8" t="s">
        <v>23</v>
      </c>
      <c r="I55" s="11" t="s">
        <v>314</v>
      </c>
      <c r="J55" s="8" t="s">
        <v>23</v>
      </c>
      <c r="K55" s="11">
        <v>0</v>
      </c>
      <c r="L55" s="11">
        <v>0</v>
      </c>
      <c r="M55" s="11">
        <v>5</v>
      </c>
    </row>
    <row r="56" spans="1:13" ht="16.5" customHeight="1" x14ac:dyDescent="0.3">
      <c r="A56" s="8">
        <v>3285</v>
      </c>
      <c r="B56" s="8" t="s">
        <v>83</v>
      </c>
      <c r="C56" s="8" t="s">
        <v>18</v>
      </c>
      <c r="D56" s="10">
        <v>45402</v>
      </c>
      <c r="E56" s="8" t="s">
        <v>23</v>
      </c>
      <c r="F56" s="11">
        <v>15</v>
      </c>
      <c r="G56" s="8" t="s">
        <v>20</v>
      </c>
      <c r="H56" s="8" t="s">
        <v>19</v>
      </c>
      <c r="I56" s="11">
        <v>30</v>
      </c>
      <c r="J56" s="8" t="s">
        <v>19</v>
      </c>
      <c r="K56" s="11">
        <v>20</v>
      </c>
      <c r="L56" s="11">
        <v>20</v>
      </c>
      <c r="M56" s="11">
        <v>45</v>
      </c>
    </row>
    <row r="57" spans="1:13" ht="16.5" customHeight="1" x14ac:dyDescent="0.3">
      <c r="A57" s="8">
        <v>3286</v>
      </c>
      <c r="B57" s="8" t="s">
        <v>84</v>
      </c>
      <c r="C57" s="8" t="s">
        <v>26</v>
      </c>
      <c r="D57" s="10">
        <v>45403</v>
      </c>
      <c r="E57" s="8" t="s">
        <v>19</v>
      </c>
      <c r="F57" s="11">
        <v>10</v>
      </c>
      <c r="G57" s="8" t="s">
        <v>27</v>
      </c>
      <c r="H57" s="8" t="s">
        <v>23</v>
      </c>
      <c r="I57" s="11" t="s">
        <v>314</v>
      </c>
      <c r="J57" s="8" t="s">
        <v>19</v>
      </c>
      <c r="K57" s="11">
        <v>20</v>
      </c>
      <c r="L57" s="11">
        <v>15</v>
      </c>
      <c r="M57" s="11">
        <v>15</v>
      </c>
    </row>
    <row r="58" spans="1:13" ht="16.5" customHeight="1" x14ac:dyDescent="0.3">
      <c r="A58" s="8">
        <v>3287</v>
      </c>
      <c r="B58" s="8" t="s">
        <v>85</v>
      </c>
      <c r="C58" s="8" t="s">
        <v>22</v>
      </c>
      <c r="D58" s="10">
        <v>45404</v>
      </c>
      <c r="E58" s="8" t="s">
        <v>23</v>
      </c>
      <c r="F58" s="11">
        <v>5</v>
      </c>
      <c r="G58" s="8" t="s">
        <v>20</v>
      </c>
      <c r="H58" s="8" t="s">
        <v>23</v>
      </c>
      <c r="I58" s="11" t="s">
        <v>314</v>
      </c>
      <c r="J58" s="8" t="s">
        <v>23</v>
      </c>
      <c r="K58" s="11">
        <v>0</v>
      </c>
      <c r="L58" s="11">
        <v>1</v>
      </c>
      <c r="M58" s="11">
        <v>4</v>
      </c>
    </row>
    <row r="59" spans="1:13" ht="16.5" customHeight="1" x14ac:dyDescent="0.3">
      <c r="A59" s="8">
        <v>3288</v>
      </c>
      <c r="B59" s="8" t="s">
        <v>86</v>
      </c>
      <c r="C59" s="8" t="s">
        <v>18</v>
      </c>
      <c r="D59" s="10">
        <v>45405</v>
      </c>
      <c r="E59" s="8" t="s">
        <v>19</v>
      </c>
      <c r="F59" s="11">
        <v>15</v>
      </c>
      <c r="G59" s="8" t="s">
        <v>24</v>
      </c>
      <c r="H59" s="8" t="s">
        <v>19</v>
      </c>
      <c r="I59" s="11">
        <v>30</v>
      </c>
      <c r="J59" s="8" t="s">
        <v>19</v>
      </c>
      <c r="K59" s="11">
        <v>20</v>
      </c>
      <c r="L59" s="11">
        <v>3</v>
      </c>
      <c r="M59" s="11">
        <v>62</v>
      </c>
    </row>
    <row r="60" spans="1:13" ht="16.5" customHeight="1" x14ac:dyDescent="0.3">
      <c r="A60" s="8">
        <v>3289</v>
      </c>
      <c r="B60" s="8" t="s">
        <v>87</v>
      </c>
      <c r="C60" s="8" t="s">
        <v>26</v>
      </c>
      <c r="D60" s="10">
        <v>45406</v>
      </c>
      <c r="E60" s="8" t="s">
        <v>23</v>
      </c>
      <c r="F60" s="11">
        <v>10</v>
      </c>
      <c r="G60" s="8" t="s">
        <v>20</v>
      </c>
      <c r="H60" s="8" t="s">
        <v>23</v>
      </c>
      <c r="I60" s="11" t="s">
        <v>314</v>
      </c>
      <c r="J60" s="8" t="s">
        <v>19</v>
      </c>
      <c r="K60" s="11">
        <v>20</v>
      </c>
      <c r="L60" s="11">
        <v>10</v>
      </c>
      <c r="M60" s="11">
        <v>20</v>
      </c>
    </row>
    <row r="61" spans="1:13" ht="16.5" customHeight="1" x14ac:dyDescent="0.3">
      <c r="A61" s="8">
        <v>3290</v>
      </c>
      <c r="B61" s="8" t="s">
        <v>88</v>
      </c>
      <c r="C61" s="8" t="s">
        <v>22</v>
      </c>
      <c r="D61" s="10">
        <v>45407</v>
      </c>
      <c r="E61" s="8" t="s">
        <v>19</v>
      </c>
      <c r="F61" s="11">
        <v>5</v>
      </c>
      <c r="G61" s="8" t="s">
        <v>27</v>
      </c>
      <c r="H61" s="8" t="s">
        <v>23</v>
      </c>
      <c r="I61" s="11" t="s">
        <v>314</v>
      </c>
      <c r="J61" s="8" t="s">
        <v>23</v>
      </c>
      <c r="K61" s="11">
        <v>0</v>
      </c>
      <c r="L61" s="11">
        <v>0</v>
      </c>
      <c r="M61" s="11">
        <v>5</v>
      </c>
    </row>
    <row r="62" spans="1:13" ht="16.5" customHeight="1" x14ac:dyDescent="0.3">
      <c r="A62" s="8">
        <v>3291</v>
      </c>
      <c r="B62" s="8" t="s">
        <v>89</v>
      </c>
      <c r="C62" s="8" t="s">
        <v>18</v>
      </c>
      <c r="D62" s="10">
        <v>45408</v>
      </c>
      <c r="E62" s="8" t="s">
        <v>23</v>
      </c>
      <c r="F62" s="11">
        <v>15</v>
      </c>
      <c r="G62" s="8" t="s">
        <v>20</v>
      </c>
      <c r="H62" s="8" t="s">
        <v>19</v>
      </c>
      <c r="I62" s="11">
        <v>30</v>
      </c>
      <c r="J62" s="8" t="s">
        <v>19</v>
      </c>
      <c r="K62" s="11">
        <v>20</v>
      </c>
      <c r="L62" s="11">
        <v>5</v>
      </c>
      <c r="M62" s="11">
        <v>60</v>
      </c>
    </row>
    <row r="63" spans="1:13" ht="16.5" customHeight="1" x14ac:dyDescent="0.3">
      <c r="A63" s="8">
        <v>3292</v>
      </c>
      <c r="B63" s="8" t="s">
        <v>90</v>
      </c>
      <c r="C63" s="8" t="s">
        <v>26</v>
      </c>
      <c r="D63" s="10">
        <v>45409</v>
      </c>
      <c r="E63" s="8" t="s">
        <v>19</v>
      </c>
      <c r="F63" s="11">
        <v>10</v>
      </c>
      <c r="G63" s="8" t="s">
        <v>24</v>
      </c>
      <c r="H63" s="8" t="s">
        <v>23</v>
      </c>
      <c r="I63" s="11" t="s">
        <v>314</v>
      </c>
      <c r="J63" s="8" t="s">
        <v>19</v>
      </c>
      <c r="K63" s="11">
        <v>20</v>
      </c>
      <c r="L63" s="11">
        <v>15</v>
      </c>
      <c r="M63" s="11">
        <v>15</v>
      </c>
    </row>
    <row r="64" spans="1:13" ht="16.5" customHeight="1" x14ac:dyDescent="0.3">
      <c r="A64" s="8">
        <v>3293</v>
      </c>
      <c r="B64" s="8" t="s">
        <v>91</v>
      </c>
      <c r="C64" s="8" t="s">
        <v>22</v>
      </c>
      <c r="D64" s="10">
        <v>45410</v>
      </c>
      <c r="E64" s="8" t="s">
        <v>23</v>
      </c>
      <c r="F64" s="11">
        <v>5</v>
      </c>
      <c r="G64" s="8" t="s">
        <v>20</v>
      </c>
      <c r="H64" s="8" t="s">
        <v>23</v>
      </c>
      <c r="I64" s="11" t="s">
        <v>314</v>
      </c>
      <c r="J64" s="8" t="s">
        <v>23</v>
      </c>
      <c r="K64" s="11">
        <v>0</v>
      </c>
      <c r="L64" s="11">
        <v>1</v>
      </c>
      <c r="M64" s="11">
        <v>4</v>
      </c>
    </row>
    <row r="65" spans="1:13" ht="16.5" customHeight="1" x14ac:dyDescent="0.3">
      <c r="A65" s="8">
        <v>3294</v>
      </c>
      <c r="B65" s="8" t="s">
        <v>92</v>
      </c>
      <c r="C65" s="8" t="s">
        <v>18</v>
      </c>
      <c r="D65" s="10">
        <v>45411</v>
      </c>
      <c r="E65" s="8" t="s">
        <v>19</v>
      </c>
      <c r="F65" s="11">
        <v>15</v>
      </c>
      <c r="G65" s="8" t="s">
        <v>27</v>
      </c>
      <c r="H65" s="8" t="s">
        <v>19</v>
      </c>
      <c r="I65" s="11">
        <v>30</v>
      </c>
      <c r="J65" s="8" t="s">
        <v>19</v>
      </c>
      <c r="K65" s="11">
        <v>20</v>
      </c>
      <c r="L65" s="11">
        <v>20</v>
      </c>
      <c r="M65" s="11">
        <v>45</v>
      </c>
    </row>
    <row r="66" spans="1:13" ht="16.5" customHeight="1" x14ac:dyDescent="0.3">
      <c r="A66" s="8">
        <v>3295</v>
      </c>
      <c r="B66" s="8" t="s">
        <v>93</v>
      </c>
      <c r="C66" s="8" t="s">
        <v>26</v>
      </c>
      <c r="D66" s="10">
        <v>45412</v>
      </c>
      <c r="E66" s="8" t="s">
        <v>23</v>
      </c>
      <c r="F66" s="11">
        <v>10</v>
      </c>
      <c r="G66" s="8" t="s">
        <v>20</v>
      </c>
      <c r="H66" s="8" t="s">
        <v>23</v>
      </c>
      <c r="I66" s="11" t="s">
        <v>314</v>
      </c>
      <c r="J66" s="8" t="s">
        <v>19</v>
      </c>
      <c r="K66" s="11">
        <v>20</v>
      </c>
      <c r="L66" s="11">
        <v>5</v>
      </c>
      <c r="M66" s="11">
        <v>25</v>
      </c>
    </row>
    <row r="67" spans="1:13" ht="16.5" customHeight="1" x14ac:dyDescent="0.3">
      <c r="A67" s="8">
        <v>3296</v>
      </c>
      <c r="B67" s="8" t="s">
        <v>94</v>
      </c>
      <c r="C67" s="8" t="s">
        <v>22</v>
      </c>
      <c r="D67" s="10">
        <v>45413</v>
      </c>
      <c r="E67" s="8" t="s">
        <v>23</v>
      </c>
      <c r="F67" s="11">
        <v>5</v>
      </c>
      <c r="G67" s="8" t="s">
        <v>20</v>
      </c>
      <c r="H67" s="8" t="s">
        <v>23</v>
      </c>
      <c r="I67" s="11" t="s">
        <v>314</v>
      </c>
      <c r="J67" s="8" t="s">
        <v>23</v>
      </c>
      <c r="K67" s="11">
        <v>0</v>
      </c>
      <c r="L67" s="11">
        <v>0</v>
      </c>
      <c r="M67" s="11">
        <v>5</v>
      </c>
    </row>
    <row r="68" spans="1:13" ht="16.5" customHeight="1" x14ac:dyDescent="0.3">
      <c r="A68" s="8">
        <v>3297</v>
      </c>
      <c r="B68" s="8" t="s">
        <v>95</v>
      </c>
      <c r="C68" s="8" t="s">
        <v>18</v>
      </c>
      <c r="D68" s="10">
        <v>45414</v>
      </c>
      <c r="E68" s="8" t="s">
        <v>19</v>
      </c>
      <c r="F68" s="11">
        <v>15</v>
      </c>
      <c r="G68" s="8" t="s">
        <v>27</v>
      </c>
      <c r="H68" s="8" t="s">
        <v>19</v>
      </c>
      <c r="I68" s="11">
        <v>30</v>
      </c>
      <c r="J68" s="8" t="s">
        <v>19</v>
      </c>
      <c r="K68" s="11">
        <v>20</v>
      </c>
      <c r="L68" s="11">
        <v>7</v>
      </c>
      <c r="M68" s="11">
        <v>58</v>
      </c>
    </row>
    <row r="69" spans="1:13" ht="16.5" customHeight="1" x14ac:dyDescent="0.3">
      <c r="A69" s="8">
        <v>3298</v>
      </c>
      <c r="B69" s="8" t="s">
        <v>96</v>
      </c>
      <c r="C69" s="8" t="s">
        <v>26</v>
      </c>
      <c r="D69" s="10">
        <v>45415</v>
      </c>
      <c r="E69" s="8" t="s">
        <v>23</v>
      </c>
      <c r="F69" s="11">
        <v>10</v>
      </c>
      <c r="G69" s="8" t="s">
        <v>24</v>
      </c>
      <c r="H69" s="8" t="s">
        <v>23</v>
      </c>
      <c r="I69" s="11" t="s">
        <v>314</v>
      </c>
      <c r="J69" s="8" t="s">
        <v>19</v>
      </c>
      <c r="K69" s="11">
        <v>20</v>
      </c>
      <c r="L69" s="11">
        <v>10</v>
      </c>
      <c r="M69" s="11">
        <v>20</v>
      </c>
    </row>
    <row r="70" spans="1:13" ht="16.5" customHeight="1" x14ac:dyDescent="0.3">
      <c r="A70" s="8">
        <v>3299</v>
      </c>
      <c r="B70" s="8" t="s">
        <v>97</v>
      </c>
      <c r="C70" s="8" t="s">
        <v>22</v>
      </c>
      <c r="D70" s="10">
        <v>45416</v>
      </c>
      <c r="E70" s="8" t="s">
        <v>19</v>
      </c>
      <c r="F70" s="11">
        <v>5</v>
      </c>
      <c r="G70" s="8" t="s">
        <v>27</v>
      </c>
      <c r="H70" s="8" t="s">
        <v>23</v>
      </c>
      <c r="I70" s="11" t="s">
        <v>314</v>
      </c>
      <c r="J70" s="8" t="s">
        <v>23</v>
      </c>
      <c r="K70" s="11">
        <v>0</v>
      </c>
      <c r="L70" s="11">
        <v>1</v>
      </c>
      <c r="M70" s="11">
        <v>4</v>
      </c>
    </row>
    <row r="71" spans="1:13" ht="16.5" customHeight="1" x14ac:dyDescent="0.3">
      <c r="A71" s="8">
        <v>3300</v>
      </c>
      <c r="B71" s="8" t="s">
        <v>98</v>
      </c>
      <c r="C71" s="8" t="s">
        <v>18</v>
      </c>
      <c r="D71" s="10">
        <v>45417</v>
      </c>
      <c r="E71" s="8" t="s">
        <v>23</v>
      </c>
      <c r="F71" s="11">
        <v>15</v>
      </c>
      <c r="G71" s="8" t="s">
        <v>20</v>
      </c>
      <c r="H71" s="8" t="s">
        <v>19</v>
      </c>
      <c r="I71" s="11">
        <v>30</v>
      </c>
      <c r="J71" s="8" t="s">
        <v>19</v>
      </c>
      <c r="K71" s="11">
        <v>20</v>
      </c>
      <c r="L71" s="11">
        <v>15</v>
      </c>
      <c r="M71" s="11">
        <v>50</v>
      </c>
    </row>
    <row r="72" spans="1:13" ht="16.5" customHeight="1" x14ac:dyDescent="0.3">
      <c r="A72" s="8">
        <v>3301</v>
      </c>
      <c r="B72" s="8" t="s">
        <v>99</v>
      </c>
      <c r="C72" s="8" t="s">
        <v>26</v>
      </c>
      <c r="D72" s="10">
        <v>45418</v>
      </c>
      <c r="E72" s="8" t="s">
        <v>19</v>
      </c>
      <c r="F72" s="11">
        <v>10</v>
      </c>
      <c r="G72" s="8" t="s">
        <v>20</v>
      </c>
      <c r="H72" s="8" t="s">
        <v>23</v>
      </c>
      <c r="I72" s="11" t="s">
        <v>314</v>
      </c>
      <c r="J72" s="8" t="s">
        <v>19</v>
      </c>
      <c r="K72" s="11">
        <v>20</v>
      </c>
      <c r="L72" s="11">
        <v>5</v>
      </c>
      <c r="M72" s="11">
        <v>25</v>
      </c>
    </row>
    <row r="73" spans="1:13" ht="16.5" customHeight="1" x14ac:dyDescent="0.3">
      <c r="A73" s="8">
        <v>3302</v>
      </c>
      <c r="B73" s="8" t="s">
        <v>100</v>
      </c>
      <c r="C73" s="8" t="s">
        <v>22</v>
      </c>
      <c r="D73" s="10">
        <v>45419</v>
      </c>
      <c r="E73" s="8" t="s">
        <v>23</v>
      </c>
      <c r="F73" s="11">
        <v>5</v>
      </c>
      <c r="G73" s="8" t="s">
        <v>24</v>
      </c>
      <c r="H73" s="8" t="s">
        <v>23</v>
      </c>
      <c r="I73" s="11" t="s">
        <v>314</v>
      </c>
      <c r="J73" s="8" t="s">
        <v>23</v>
      </c>
      <c r="K73" s="11">
        <v>0</v>
      </c>
      <c r="L73" s="11">
        <v>0</v>
      </c>
      <c r="M73" s="11">
        <v>5</v>
      </c>
    </row>
    <row r="74" spans="1:13" ht="16.5" customHeight="1" x14ac:dyDescent="0.3">
      <c r="A74" s="8">
        <v>3303</v>
      </c>
      <c r="B74" s="8" t="s">
        <v>101</v>
      </c>
      <c r="C74" s="8" t="s">
        <v>18</v>
      </c>
      <c r="D74" s="10">
        <v>45420</v>
      </c>
      <c r="E74" s="8" t="s">
        <v>19</v>
      </c>
      <c r="F74" s="11">
        <v>15</v>
      </c>
      <c r="G74" s="8" t="s">
        <v>27</v>
      </c>
      <c r="H74" s="8" t="s">
        <v>19</v>
      </c>
      <c r="I74" s="11">
        <v>30</v>
      </c>
      <c r="J74" s="8" t="s">
        <v>19</v>
      </c>
      <c r="K74" s="11">
        <v>20</v>
      </c>
      <c r="L74" s="11">
        <v>20</v>
      </c>
      <c r="M74" s="11">
        <v>45</v>
      </c>
    </row>
    <row r="75" spans="1:13" ht="16.5" customHeight="1" x14ac:dyDescent="0.3">
      <c r="A75" s="8">
        <v>3304</v>
      </c>
      <c r="B75" s="8" t="s">
        <v>102</v>
      </c>
      <c r="C75" s="8" t="s">
        <v>26</v>
      </c>
      <c r="D75" s="10">
        <v>45421</v>
      </c>
      <c r="E75" s="8" t="s">
        <v>23</v>
      </c>
      <c r="F75" s="11">
        <v>10</v>
      </c>
      <c r="G75" s="8" t="s">
        <v>27</v>
      </c>
      <c r="H75" s="8" t="s">
        <v>23</v>
      </c>
      <c r="I75" s="11" t="s">
        <v>314</v>
      </c>
      <c r="J75" s="8" t="s">
        <v>19</v>
      </c>
      <c r="K75" s="11">
        <v>20</v>
      </c>
      <c r="L75" s="11">
        <v>12</v>
      </c>
      <c r="M75" s="11">
        <v>18</v>
      </c>
    </row>
    <row r="76" spans="1:13" ht="16.5" customHeight="1" x14ac:dyDescent="0.3">
      <c r="A76" s="8">
        <v>3305</v>
      </c>
      <c r="B76" s="8" t="s">
        <v>103</v>
      </c>
      <c r="C76" s="8" t="s">
        <v>22</v>
      </c>
      <c r="D76" s="10">
        <v>45422</v>
      </c>
      <c r="E76" s="8" t="s">
        <v>19</v>
      </c>
      <c r="F76" s="11">
        <v>5</v>
      </c>
      <c r="G76" s="8" t="s">
        <v>20</v>
      </c>
      <c r="H76" s="8" t="s">
        <v>23</v>
      </c>
      <c r="I76" s="11" t="s">
        <v>314</v>
      </c>
      <c r="J76" s="8" t="s">
        <v>23</v>
      </c>
      <c r="K76" s="11">
        <v>0</v>
      </c>
      <c r="L76" s="11">
        <v>2</v>
      </c>
      <c r="M76" s="11">
        <v>3</v>
      </c>
    </row>
    <row r="77" spans="1:13" ht="16.5" customHeight="1" x14ac:dyDescent="0.3">
      <c r="A77" s="8">
        <v>3306</v>
      </c>
      <c r="B77" s="8" t="s">
        <v>104</v>
      </c>
      <c r="C77" s="8" t="s">
        <v>18</v>
      </c>
      <c r="D77" s="10">
        <v>45423</v>
      </c>
      <c r="E77" s="8" t="s">
        <v>23</v>
      </c>
      <c r="F77" s="11">
        <v>15</v>
      </c>
      <c r="G77" s="8" t="s">
        <v>24</v>
      </c>
      <c r="H77" s="8" t="s">
        <v>19</v>
      </c>
      <c r="I77" s="11">
        <v>30</v>
      </c>
      <c r="J77" s="8" t="s">
        <v>19</v>
      </c>
      <c r="K77" s="11">
        <v>20</v>
      </c>
      <c r="L77" s="11">
        <v>5</v>
      </c>
      <c r="M77" s="11">
        <v>60</v>
      </c>
    </row>
    <row r="78" spans="1:13" ht="16.5" customHeight="1" x14ac:dyDescent="0.3">
      <c r="A78" s="8">
        <v>3307</v>
      </c>
      <c r="B78" s="8" t="s">
        <v>105</v>
      </c>
      <c r="C78" s="8" t="s">
        <v>26</v>
      </c>
      <c r="D78" s="10">
        <v>45424</v>
      </c>
      <c r="E78" s="8" t="s">
        <v>19</v>
      </c>
      <c r="F78" s="11">
        <v>10</v>
      </c>
      <c r="G78" s="8" t="s">
        <v>20</v>
      </c>
      <c r="H78" s="8" t="s">
        <v>23</v>
      </c>
      <c r="I78" s="11" t="s">
        <v>314</v>
      </c>
      <c r="J78" s="8" t="s">
        <v>19</v>
      </c>
      <c r="K78" s="11">
        <v>20</v>
      </c>
      <c r="L78" s="11">
        <v>10</v>
      </c>
      <c r="M78" s="11">
        <v>20</v>
      </c>
    </row>
    <row r="79" spans="1:13" ht="16.5" customHeight="1" x14ac:dyDescent="0.3">
      <c r="A79" s="8">
        <v>3308</v>
      </c>
      <c r="B79" s="8" t="s">
        <v>106</v>
      </c>
      <c r="C79" s="8" t="s">
        <v>22</v>
      </c>
      <c r="D79" s="10">
        <v>45425</v>
      </c>
      <c r="E79" s="8" t="s">
        <v>23</v>
      </c>
      <c r="F79" s="11">
        <v>5</v>
      </c>
      <c r="G79" s="8" t="s">
        <v>27</v>
      </c>
      <c r="H79" s="8" t="s">
        <v>23</v>
      </c>
      <c r="I79" s="11" t="s">
        <v>314</v>
      </c>
      <c r="J79" s="8" t="s">
        <v>23</v>
      </c>
      <c r="K79" s="11">
        <v>0</v>
      </c>
      <c r="L79" s="11">
        <v>0</v>
      </c>
      <c r="M79" s="11">
        <v>5</v>
      </c>
    </row>
    <row r="80" spans="1:13" ht="16.5" customHeight="1" x14ac:dyDescent="0.3">
      <c r="A80" s="8">
        <v>3309</v>
      </c>
      <c r="B80" s="8" t="s">
        <v>107</v>
      </c>
      <c r="C80" s="8" t="s">
        <v>18</v>
      </c>
      <c r="D80" s="10">
        <v>45426</v>
      </c>
      <c r="E80" s="8" t="s">
        <v>19</v>
      </c>
      <c r="F80" s="11">
        <v>15</v>
      </c>
      <c r="G80" s="8" t="s">
        <v>20</v>
      </c>
      <c r="H80" s="8" t="s">
        <v>19</v>
      </c>
      <c r="I80" s="11">
        <v>30</v>
      </c>
      <c r="J80" s="8" t="s">
        <v>19</v>
      </c>
      <c r="K80" s="11">
        <v>20</v>
      </c>
      <c r="L80" s="11">
        <v>3</v>
      </c>
      <c r="M80" s="11">
        <v>62</v>
      </c>
    </row>
    <row r="81" spans="1:13" ht="16.5" customHeight="1" x14ac:dyDescent="0.3">
      <c r="A81" s="8">
        <v>3310</v>
      </c>
      <c r="B81" s="8" t="s">
        <v>108</v>
      </c>
      <c r="C81" s="8" t="s">
        <v>26</v>
      </c>
      <c r="D81" s="10">
        <v>45427</v>
      </c>
      <c r="E81" s="8" t="s">
        <v>23</v>
      </c>
      <c r="F81" s="11">
        <v>10</v>
      </c>
      <c r="G81" s="8" t="s">
        <v>24</v>
      </c>
      <c r="H81" s="8" t="s">
        <v>23</v>
      </c>
      <c r="I81" s="11" t="s">
        <v>314</v>
      </c>
      <c r="J81" s="8" t="s">
        <v>19</v>
      </c>
      <c r="K81" s="11">
        <v>20</v>
      </c>
      <c r="L81" s="11">
        <v>15</v>
      </c>
      <c r="M81" s="11">
        <v>15</v>
      </c>
    </row>
    <row r="82" spans="1:13" ht="16.5" customHeight="1" x14ac:dyDescent="0.3">
      <c r="A82" s="8">
        <v>3311</v>
      </c>
      <c r="B82" s="8" t="s">
        <v>109</v>
      </c>
      <c r="C82" s="8" t="s">
        <v>22</v>
      </c>
      <c r="D82" s="10">
        <v>45428</v>
      </c>
      <c r="E82" s="8" t="s">
        <v>19</v>
      </c>
      <c r="F82" s="11">
        <v>5</v>
      </c>
      <c r="G82" s="8" t="s">
        <v>20</v>
      </c>
      <c r="H82" s="8" t="s">
        <v>23</v>
      </c>
      <c r="I82" s="11" t="s">
        <v>314</v>
      </c>
      <c r="J82" s="8" t="s">
        <v>23</v>
      </c>
      <c r="K82" s="11">
        <v>0</v>
      </c>
      <c r="L82" s="11">
        <v>1</v>
      </c>
      <c r="M82" s="11">
        <v>4</v>
      </c>
    </row>
    <row r="83" spans="1:13" ht="16.5" customHeight="1" x14ac:dyDescent="0.3">
      <c r="A83" s="8">
        <v>3312</v>
      </c>
      <c r="B83" s="8" t="s">
        <v>110</v>
      </c>
      <c r="C83" s="8" t="s">
        <v>18</v>
      </c>
      <c r="D83" s="10">
        <v>45429</v>
      </c>
      <c r="E83" s="8" t="s">
        <v>23</v>
      </c>
      <c r="F83" s="11">
        <v>15</v>
      </c>
      <c r="G83" s="8" t="s">
        <v>27</v>
      </c>
      <c r="H83" s="8" t="s">
        <v>19</v>
      </c>
      <c r="I83" s="11">
        <v>30</v>
      </c>
      <c r="J83" s="8" t="s">
        <v>19</v>
      </c>
      <c r="K83" s="11">
        <v>20</v>
      </c>
      <c r="L83" s="11">
        <v>7</v>
      </c>
      <c r="M83" s="11">
        <v>58</v>
      </c>
    </row>
    <row r="84" spans="1:13" ht="16.5" customHeight="1" x14ac:dyDescent="0.3">
      <c r="A84" s="8">
        <v>3313</v>
      </c>
      <c r="B84" s="8" t="s">
        <v>111</v>
      </c>
      <c r="C84" s="8" t="s">
        <v>26</v>
      </c>
      <c r="D84" s="10">
        <v>45430</v>
      </c>
      <c r="E84" s="8" t="s">
        <v>19</v>
      </c>
      <c r="F84" s="11">
        <v>10</v>
      </c>
      <c r="G84" s="8" t="s">
        <v>20</v>
      </c>
      <c r="H84" s="8" t="s">
        <v>23</v>
      </c>
      <c r="I84" s="11" t="s">
        <v>314</v>
      </c>
      <c r="J84" s="8" t="s">
        <v>19</v>
      </c>
      <c r="K84" s="11">
        <v>20</v>
      </c>
      <c r="L84" s="11">
        <v>10</v>
      </c>
      <c r="M84" s="11">
        <v>20</v>
      </c>
    </row>
    <row r="85" spans="1:13" ht="16.5" customHeight="1" x14ac:dyDescent="0.3">
      <c r="A85" s="8">
        <v>3314</v>
      </c>
      <c r="B85" s="8" t="s">
        <v>112</v>
      </c>
      <c r="C85" s="8" t="s">
        <v>22</v>
      </c>
      <c r="D85" s="10">
        <v>45431</v>
      </c>
      <c r="E85" s="8" t="s">
        <v>23</v>
      </c>
      <c r="F85" s="11">
        <v>5</v>
      </c>
      <c r="G85" s="8" t="s">
        <v>24</v>
      </c>
      <c r="H85" s="8" t="s">
        <v>23</v>
      </c>
      <c r="I85" s="11" t="s">
        <v>314</v>
      </c>
      <c r="J85" s="8" t="s">
        <v>23</v>
      </c>
      <c r="K85" s="11">
        <v>0</v>
      </c>
      <c r="L85" s="11">
        <v>0</v>
      </c>
      <c r="M85" s="11">
        <v>5</v>
      </c>
    </row>
    <row r="86" spans="1:13" ht="16.5" customHeight="1" x14ac:dyDescent="0.3">
      <c r="A86" s="8">
        <v>3315</v>
      </c>
      <c r="B86" s="8" t="s">
        <v>113</v>
      </c>
      <c r="C86" s="8" t="s">
        <v>18</v>
      </c>
      <c r="D86" s="10">
        <v>45432</v>
      </c>
      <c r="E86" s="8" t="s">
        <v>19</v>
      </c>
      <c r="F86" s="11">
        <v>15</v>
      </c>
      <c r="G86" s="8" t="s">
        <v>20</v>
      </c>
      <c r="H86" s="8" t="s">
        <v>19</v>
      </c>
      <c r="I86" s="11">
        <v>30</v>
      </c>
      <c r="J86" s="8" t="s">
        <v>19</v>
      </c>
      <c r="K86" s="11">
        <v>20</v>
      </c>
      <c r="L86" s="11">
        <v>20</v>
      </c>
      <c r="M86" s="11">
        <v>45</v>
      </c>
    </row>
    <row r="87" spans="1:13" ht="16.5" customHeight="1" x14ac:dyDescent="0.3">
      <c r="A87" s="8">
        <v>3316</v>
      </c>
      <c r="B87" s="8" t="s">
        <v>114</v>
      </c>
      <c r="C87" s="8" t="s">
        <v>26</v>
      </c>
      <c r="D87" s="10">
        <v>45433</v>
      </c>
      <c r="E87" s="8" t="s">
        <v>23</v>
      </c>
      <c r="F87" s="11">
        <v>10</v>
      </c>
      <c r="G87" s="8" t="s">
        <v>27</v>
      </c>
      <c r="H87" s="8" t="s">
        <v>23</v>
      </c>
      <c r="I87" s="11" t="s">
        <v>314</v>
      </c>
      <c r="J87" s="8" t="s">
        <v>19</v>
      </c>
      <c r="K87" s="11">
        <v>20</v>
      </c>
      <c r="L87" s="11">
        <v>15</v>
      </c>
      <c r="M87" s="11">
        <v>15</v>
      </c>
    </row>
    <row r="88" spans="1:13" ht="16.5" customHeight="1" x14ac:dyDescent="0.3">
      <c r="A88" s="8">
        <v>3317</v>
      </c>
      <c r="B88" s="8" t="s">
        <v>115</v>
      </c>
      <c r="C88" s="8" t="s">
        <v>22</v>
      </c>
      <c r="D88" s="10">
        <v>45434</v>
      </c>
      <c r="E88" s="8" t="s">
        <v>19</v>
      </c>
      <c r="F88" s="11">
        <v>5</v>
      </c>
      <c r="G88" s="8" t="s">
        <v>20</v>
      </c>
      <c r="H88" s="8" t="s">
        <v>23</v>
      </c>
      <c r="I88" s="11" t="s">
        <v>314</v>
      </c>
      <c r="J88" s="8" t="s">
        <v>23</v>
      </c>
      <c r="K88" s="11">
        <v>0</v>
      </c>
      <c r="L88" s="11">
        <v>1</v>
      </c>
      <c r="M88" s="11">
        <v>4</v>
      </c>
    </row>
    <row r="89" spans="1:13" ht="16.5" customHeight="1" x14ac:dyDescent="0.3">
      <c r="A89" s="8">
        <v>3318</v>
      </c>
      <c r="B89" s="8" t="s">
        <v>116</v>
      </c>
      <c r="C89" s="8" t="s">
        <v>18</v>
      </c>
      <c r="D89" s="10">
        <v>45435</v>
      </c>
      <c r="E89" s="8" t="s">
        <v>23</v>
      </c>
      <c r="F89" s="11">
        <v>15</v>
      </c>
      <c r="G89" s="8" t="s">
        <v>24</v>
      </c>
      <c r="H89" s="8" t="s">
        <v>19</v>
      </c>
      <c r="I89" s="11">
        <v>30</v>
      </c>
      <c r="J89" s="8" t="s">
        <v>19</v>
      </c>
      <c r="K89" s="11">
        <v>20</v>
      </c>
      <c r="L89" s="11">
        <v>3</v>
      </c>
      <c r="M89" s="11">
        <v>62</v>
      </c>
    </row>
    <row r="90" spans="1:13" ht="16.5" customHeight="1" x14ac:dyDescent="0.3">
      <c r="A90" s="8">
        <v>3319</v>
      </c>
      <c r="B90" s="8" t="s">
        <v>117</v>
      </c>
      <c r="C90" s="8" t="s">
        <v>26</v>
      </c>
      <c r="D90" s="10">
        <v>45436</v>
      </c>
      <c r="E90" s="8" t="s">
        <v>19</v>
      </c>
      <c r="F90" s="11">
        <v>10</v>
      </c>
      <c r="G90" s="8" t="s">
        <v>20</v>
      </c>
      <c r="H90" s="8" t="s">
        <v>23</v>
      </c>
      <c r="I90" s="11" t="s">
        <v>314</v>
      </c>
      <c r="J90" s="8" t="s">
        <v>19</v>
      </c>
      <c r="K90" s="11">
        <v>20</v>
      </c>
      <c r="L90" s="11">
        <v>10</v>
      </c>
      <c r="M90" s="11">
        <v>20</v>
      </c>
    </row>
    <row r="91" spans="1:13" ht="16.5" customHeight="1" x14ac:dyDescent="0.3">
      <c r="A91" s="8">
        <v>3320</v>
      </c>
      <c r="B91" s="8" t="s">
        <v>118</v>
      </c>
      <c r="C91" s="8" t="s">
        <v>22</v>
      </c>
      <c r="D91" s="10">
        <v>45437</v>
      </c>
      <c r="E91" s="8" t="s">
        <v>23</v>
      </c>
      <c r="F91" s="11">
        <v>5</v>
      </c>
      <c r="G91" s="8" t="s">
        <v>27</v>
      </c>
      <c r="H91" s="8" t="s">
        <v>23</v>
      </c>
      <c r="I91" s="11" t="s">
        <v>314</v>
      </c>
      <c r="J91" s="8" t="s">
        <v>23</v>
      </c>
      <c r="K91" s="11">
        <v>0</v>
      </c>
      <c r="L91" s="11">
        <v>0</v>
      </c>
      <c r="M91" s="11">
        <v>5</v>
      </c>
    </row>
    <row r="92" spans="1:13" ht="16.5" customHeight="1" x14ac:dyDescent="0.3">
      <c r="A92" s="8">
        <v>3321</v>
      </c>
      <c r="B92" s="8" t="s">
        <v>119</v>
      </c>
      <c r="C92" s="8" t="s">
        <v>18</v>
      </c>
      <c r="D92" s="10">
        <v>45438</v>
      </c>
      <c r="E92" s="8" t="s">
        <v>19</v>
      </c>
      <c r="F92" s="11">
        <v>15</v>
      </c>
      <c r="G92" s="8" t="s">
        <v>20</v>
      </c>
      <c r="H92" s="8" t="s">
        <v>19</v>
      </c>
      <c r="I92" s="11">
        <v>30</v>
      </c>
      <c r="J92" s="8" t="s">
        <v>19</v>
      </c>
      <c r="K92" s="11">
        <v>20</v>
      </c>
      <c r="L92" s="11">
        <v>5</v>
      </c>
      <c r="M92" s="11">
        <v>60</v>
      </c>
    </row>
    <row r="93" spans="1:13" ht="16.5" customHeight="1" x14ac:dyDescent="0.3">
      <c r="A93" s="8">
        <v>3322</v>
      </c>
      <c r="B93" s="8" t="s">
        <v>120</v>
      </c>
      <c r="C93" s="8" t="s">
        <v>26</v>
      </c>
      <c r="D93" s="10">
        <v>45439</v>
      </c>
      <c r="E93" s="8" t="s">
        <v>23</v>
      </c>
      <c r="F93" s="11">
        <v>10</v>
      </c>
      <c r="G93" s="8" t="s">
        <v>24</v>
      </c>
      <c r="H93" s="8" t="s">
        <v>23</v>
      </c>
      <c r="I93" s="11" t="s">
        <v>314</v>
      </c>
      <c r="J93" s="8" t="s">
        <v>19</v>
      </c>
      <c r="K93" s="11">
        <v>20</v>
      </c>
      <c r="L93" s="11">
        <v>15</v>
      </c>
      <c r="M93" s="11">
        <v>15</v>
      </c>
    </row>
    <row r="94" spans="1:13" ht="16.5" customHeight="1" x14ac:dyDescent="0.3">
      <c r="A94" s="8">
        <v>3323</v>
      </c>
      <c r="B94" s="8" t="s">
        <v>121</v>
      </c>
      <c r="C94" s="8" t="s">
        <v>22</v>
      </c>
      <c r="D94" s="10">
        <v>45440</v>
      </c>
      <c r="E94" s="8" t="s">
        <v>19</v>
      </c>
      <c r="F94" s="11">
        <v>5</v>
      </c>
      <c r="G94" s="8" t="s">
        <v>20</v>
      </c>
      <c r="H94" s="8" t="s">
        <v>23</v>
      </c>
      <c r="I94" s="11" t="s">
        <v>314</v>
      </c>
      <c r="J94" s="8" t="s">
        <v>23</v>
      </c>
      <c r="K94" s="11">
        <v>0</v>
      </c>
      <c r="L94" s="11">
        <v>1</v>
      </c>
      <c r="M94" s="11">
        <v>4</v>
      </c>
    </row>
    <row r="95" spans="1:13" ht="16.5" customHeight="1" x14ac:dyDescent="0.3">
      <c r="A95" s="8">
        <v>3324</v>
      </c>
      <c r="B95" s="8" t="s">
        <v>122</v>
      </c>
      <c r="C95" s="8" t="s">
        <v>18</v>
      </c>
      <c r="D95" s="10">
        <v>45441</v>
      </c>
      <c r="E95" s="8" t="s">
        <v>23</v>
      </c>
      <c r="F95" s="11">
        <v>15</v>
      </c>
      <c r="G95" s="8" t="s">
        <v>27</v>
      </c>
      <c r="H95" s="8" t="s">
        <v>19</v>
      </c>
      <c r="I95" s="11">
        <v>30</v>
      </c>
      <c r="J95" s="8" t="s">
        <v>19</v>
      </c>
      <c r="K95" s="11">
        <v>20</v>
      </c>
      <c r="L95" s="11">
        <v>20</v>
      </c>
      <c r="M95" s="11">
        <v>45</v>
      </c>
    </row>
    <row r="96" spans="1:13" ht="16.5" customHeight="1" x14ac:dyDescent="0.3">
      <c r="A96" s="8">
        <v>3325</v>
      </c>
      <c r="B96" s="8" t="s">
        <v>123</v>
      </c>
      <c r="C96" s="8" t="s">
        <v>26</v>
      </c>
      <c r="D96" s="10">
        <v>45442</v>
      </c>
      <c r="E96" s="8" t="s">
        <v>19</v>
      </c>
      <c r="F96" s="11">
        <v>10</v>
      </c>
      <c r="G96" s="8" t="s">
        <v>27</v>
      </c>
      <c r="H96" s="8" t="s">
        <v>23</v>
      </c>
      <c r="I96" s="11" t="s">
        <v>314</v>
      </c>
      <c r="J96" s="8" t="s">
        <v>19</v>
      </c>
      <c r="K96" s="11">
        <v>20</v>
      </c>
      <c r="L96" s="11">
        <v>15</v>
      </c>
      <c r="M96" s="11">
        <v>15</v>
      </c>
    </row>
    <row r="97" spans="1:13" ht="16.5" customHeight="1" x14ac:dyDescent="0.3">
      <c r="A97" s="8">
        <v>3326</v>
      </c>
      <c r="B97" s="8" t="s">
        <v>124</v>
      </c>
      <c r="C97" s="8" t="s">
        <v>22</v>
      </c>
      <c r="D97" s="10">
        <v>45443</v>
      </c>
      <c r="E97" s="8" t="s">
        <v>23</v>
      </c>
      <c r="F97" s="11">
        <v>5</v>
      </c>
      <c r="G97" s="8" t="s">
        <v>24</v>
      </c>
      <c r="H97" s="8" t="s">
        <v>23</v>
      </c>
      <c r="I97" s="11" t="s">
        <v>314</v>
      </c>
      <c r="J97" s="8" t="s">
        <v>23</v>
      </c>
      <c r="K97" s="11">
        <v>0</v>
      </c>
      <c r="L97" s="11">
        <v>0</v>
      </c>
      <c r="M97" s="11">
        <v>5</v>
      </c>
    </row>
    <row r="98" spans="1:13" ht="16.5" customHeight="1" x14ac:dyDescent="0.3">
      <c r="A98" s="8">
        <v>3327</v>
      </c>
      <c r="B98" s="8" t="s">
        <v>125</v>
      </c>
      <c r="C98" s="8" t="s">
        <v>18</v>
      </c>
      <c r="D98" s="10">
        <v>45444</v>
      </c>
      <c r="E98" s="8" t="s">
        <v>19</v>
      </c>
      <c r="F98" s="11">
        <v>15</v>
      </c>
      <c r="G98" s="8" t="s">
        <v>20</v>
      </c>
      <c r="H98" s="8" t="s">
        <v>19</v>
      </c>
      <c r="I98" s="11">
        <v>30</v>
      </c>
      <c r="J98" s="8" t="s">
        <v>19</v>
      </c>
      <c r="K98" s="11">
        <v>20</v>
      </c>
      <c r="L98" s="11">
        <v>7</v>
      </c>
      <c r="M98" s="11">
        <v>58</v>
      </c>
    </row>
    <row r="99" spans="1:13" ht="16.5" customHeight="1" x14ac:dyDescent="0.3">
      <c r="A99" s="8">
        <v>3328</v>
      </c>
      <c r="B99" s="8" t="s">
        <v>126</v>
      </c>
      <c r="C99" s="8" t="s">
        <v>26</v>
      </c>
      <c r="D99" s="10">
        <v>45445</v>
      </c>
      <c r="E99" s="8" t="s">
        <v>23</v>
      </c>
      <c r="F99" s="11">
        <v>10</v>
      </c>
      <c r="G99" s="8" t="s">
        <v>24</v>
      </c>
      <c r="H99" s="8" t="s">
        <v>23</v>
      </c>
      <c r="I99" s="11" t="s">
        <v>314</v>
      </c>
      <c r="J99" s="8" t="s">
        <v>19</v>
      </c>
      <c r="K99" s="11">
        <v>20</v>
      </c>
      <c r="L99" s="11">
        <v>10</v>
      </c>
      <c r="M99" s="11">
        <v>20</v>
      </c>
    </row>
    <row r="100" spans="1:13" ht="16.5" customHeight="1" x14ac:dyDescent="0.3">
      <c r="A100" s="8">
        <v>3329</v>
      </c>
      <c r="B100" s="8" t="s">
        <v>127</v>
      </c>
      <c r="C100" s="8" t="s">
        <v>22</v>
      </c>
      <c r="D100" s="10">
        <v>45446</v>
      </c>
      <c r="E100" s="8" t="s">
        <v>19</v>
      </c>
      <c r="F100" s="11">
        <v>5</v>
      </c>
      <c r="G100" s="8" t="s">
        <v>27</v>
      </c>
      <c r="H100" s="8" t="s">
        <v>23</v>
      </c>
      <c r="I100" s="11" t="s">
        <v>314</v>
      </c>
      <c r="J100" s="8" t="s">
        <v>23</v>
      </c>
      <c r="K100" s="11">
        <v>0</v>
      </c>
      <c r="L100" s="11">
        <v>1</v>
      </c>
      <c r="M100" s="11">
        <v>4</v>
      </c>
    </row>
    <row r="101" spans="1:13" ht="16.5" customHeight="1" x14ac:dyDescent="0.3">
      <c r="A101" s="8">
        <v>3330</v>
      </c>
      <c r="B101" s="8" t="s">
        <v>128</v>
      </c>
      <c r="C101" s="8" t="s">
        <v>18</v>
      </c>
      <c r="D101" s="10">
        <v>45447</v>
      </c>
      <c r="E101" s="8" t="s">
        <v>23</v>
      </c>
      <c r="F101" s="11">
        <v>15</v>
      </c>
      <c r="G101" s="8" t="s">
        <v>20</v>
      </c>
      <c r="H101" s="8" t="s">
        <v>19</v>
      </c>
      <c r="I101" s="11">
        <v>30</v>
      </c>
      <c r="J101" s="8" t="s">
        <v>19</v>
      </c>
      <c r="K101" s="11">
        <v>20</v>
      </c>
      <c r="L101" s="11">
        <v>15</v>
      </c>
      <c r="M101" s="11">
        <v>50</v>
      </c>
    </row>
    <row r="102" spans="1:13" ht="16.5" customHeight="1" x14ac:dyDescent="0.3">
      <c r="A102" s="8">
        <v>3331</v>
      </c>
      <c r="B102" s="8" t="s">
        <v>129</v>
      </c>
      <c r="C102" s="8" t="s">
        <v>26</v>
      </c>
      <c r="D102" s="10">
        <v>45448</v>
      </c>
      <c r="E102" s="8" t="s">
        <v>19</v>
      </c>
      <c r="F102" s="11">
        <v>10</v>
      </c>
      <c r="G102" s="8" t="s">
        <v>20</v>
      </c>
      <c r="H102" s="8" t="s">
        <v>23</v>
      </c>
      <c r="I102" s="11" t="s">
        <v>314</v>
      </c>
      <c r="J102" s="8" t="s">
        <v>19</v>
      </c>
      <c r="K102" s="11">
        <v>20</v>
      </c>
      <c r="L102" s="11">
        <v>5</v>
      </c>
      <c r="M102" s="11">
        <v>25</v>
      </c>
    </row>
    <row r="103" spans="1:13" ht="16.5" customHeight="1" x14ac:dyDescent="0.3">
      <c r="A103" s="8">
        <v>3332</v>
      </c>
      <c r="B103" s="8" t="s">
        <v>130</v>
      </c>
      <c r="C103" s="8" t="s">
        <v>22</v>
      </c>
      <c r="D103" s="10">
        <v>45449</v>
      </c>
      <c r="E103" s="8" t="s">
        <v>23</v>
      </c>
      <c r="F103" s="11">
        <v>5</v>
      </c>
      <c r="G103" s="8" t="s">
        <v>24</v>
      </c>
      <c r="H103" s="8" t="s">
        <v>23</v>
      </c>
      <c r="I103" s="11" t="s">
        <v>314</v>
      </c>
      <c r="J103" s="8" t="s">
        <v>23</v>
      </c>
      <c r="K103" s="11">
        <v>0</v>
      </c>
      <c r="L103" s="11">
        <v>0</v>
      </c>
      <c r="M103" s="11">
        <v>5</v>
      </c>
    </row>
    <row r="104" spans="1:13" ht="16.5" customHeight="1" x14ac:dyDescent="0.3">
      <c r="A104" s="8">
        <v>3333</v>
      </c>
      <c r="B104" s="8" t="s">
        <v>131</v>
      </c>
      <c r="C104" s="8" t="s">
        <v>18</v>
      </c>
      <c r="D104" s="10">
        <v>45450</v>
      </c>
      <c r="E104" s="8" t="s">
        <v>19</v>
      </c>
      <c r="F104" s="11">
        <v>15</v>
      </c>
      <c r="G104" s="8" t="s">
        <v>27</v>
      </c>
      <c r="H104" s="8" t="s">
        <v>19</v>
      </c>
      <c r="I104" s="11">
        <v>30</v>
      </c>
      <c r="J104" s="8" t="s">
        <v>19</v>
      </c>
      <c r="K104" s="11">
        <v>20</v>
      </c>
      <c r="L104" s="11">
        <v>20</v>
      </c>
      <c r="M104" s="11">
        <v>45</v>
      </c>
    </row>
    <row r="105" spans="1:13" ht="16.5" customHeight="1" x14ac:dyDescent="0.3">
      <c r="A105" s="8">
        <v>3334</v>
      </c>
      <c r="B105" s="8" t="s">
        <v>132</v>
      </c>
      <c r="C105" s="8" t="s">
        <v>26</v>
      </c>
      <c r="D105" s="10">
        <v>45451</v>
      </c>
      <c r="E105" s="8" t="s">
        <v>23</v>
      </c>
      <c r="F105" s="11">
        <v>10</v>
      </c>
      <c r="G105" s="8" t="s">
        <v>27</v>
      </c>
      <c r="H105" s="8" t="s">
        <v>23</v>
      </c>
      <c r="I105" s="11" t="s">
        <v>314</v>
      </c>
      <c r="J105" s="8" t="s">
        <v>19</v>
      </c>
      <c r="K105" s="11">
        <v>20</v>
      </c>
      <c r="L105" s="11">
        <v>12</v>
      </c>
      <c r="M105" s="11">
        <v>18</v>
      </c>
    </row>
    <row r="106" spans="1:13" ht="16.5" customHeight="1" x14ac:dyDescent="0.3">
      <c r="A106" s="8">
        <v>3335</v>
      </c>
      <c r="B106" s="8" t="s">
        <v>133</v>
      </c>
      <c r="C106" s="8" t="s">
        <v>22</v>
      </c>
      <c r="D106" s="10">
        <v>45452</v>
      </c>
      <c r="E106" s="8" t="s">
        <v>19</v>
      </c>
      <c r="F106" s="11">
        <v>5</v>
      </c>
      <c r="G106" s="8" t="s">
        <v>20</v>
      </c>
      <c r="H106" s="8" t="s">
        <v>23</v>
      </c>
      <c r="I106" s="11" t="s">
        <v>314</v>
      </c>
      <c r="J106" s="8" t="s">
        <v>23</v>
      </c>
      <c r="K106" s="11">
        <v>0</v>
      </c>
      <c r="L106" s="11">
        <v>2</v>
      </c>
      <c r="M106" s="11">
        <v>3</v>
      </c>
    </row>
    <row r="107" spans="1:13" ht="16.5" customHeight="1" x14ac:dyDescent="0.3">
      <c r="A107" s="8">
        <v>3336</v>
      </c>
      <c r="B107" s="8" t="s">
        <v>134</v>
      </c>
      <c r="C107" s="8" t="s">
        <v>22</v>
      </c>
      <c r="D107" s="10">
        <v>45453</v>
      </c>
      <c r="E107" s="8" t="s">
        <v>19</v>
      </c>
      <c r="F107" s="11">
        <v>5</v>
      </c>
      <c r="G107" s="8" t="s">
        <v>20</v>
      </c>
      <c r="H107" s="8" t="s">
        <v>23</v>
      </c>
      <c r="I107" s="11" t="s">
        <v>314</v>
      </c>
      <c r="J107" s="8" t="s">
        <v>23</v>
      </c>
      <c r="K107" s="11">
        <v>0</v>
      </c>
      <c r="L107" s="11">
        <v>0</v>
      </c>
      <c r="M107" s="11">
        <v>5</v>
      </c>
    </row>
    <row r="108" spans="1:13" ht="16.5" customHeight="1" x14ac:dyDescent="0.3">
      <c r="A108" s="8">
        <v>3337</v>
      </c>
      <c r="B108" s="8" t="s">
        <v>135</v>
      </c>
      <c r="C108" s="8" t="s">
        <v>18</v>
      </c>
      <c r="D108" s="10">
        <v>45454</v>
      </c>
      <c r="E108" s="8" t="s">
        <v>23</v>
      </c>
      <c r="F108" s="11">
        <v>15</v>
      </c>
      <c r="G108" s="8" t="s">
        <v>27</v>
      </c>
      <c r="H108" s="8" t="s">
        <v>19</v>
      </c>
      <c r="I108" s="11">
        <v>30</v>
      </c>
      <c r="J108" s="8" t="s">
        <v>19</v>
      </c>
      <c r="K108" s="11">
        <v>20</v>
      </c>
      <c r="L108" s="11">
        <v>7</v>
      </c>
      <c r="M108" s="11">
        <v>58</v>
      </c>
    </row>
    <row r="109" spans="1:13" ht="16.5" customHeight="1" x14ac:dyDescent="0.3">
      <c r="A109" s="8">
        <v>3338</v>
      </c>
      <c r="B109" s="8" t="s">
        <v>136</v>
      </c>
      <c r="C109" s="8" t="s">
        <v>26</v>
      </c>
      <c r="D109" s="10">
        <v>45455</v>
      </c>
      <c r="E109" s="8" t="s">
        <v>19</v>
      </c>
      <c r="F109" s="11">
        <v>10</v>
      </c>
      <c r="G109" s="8" t="s">
        <v>24</v>
      </c>
      <c r="H109" s="8" t="s">
        <v>23</v>
      </c>
      <c r="I109" s="11" t="s">
        <v>314</v>
      </c>
      <c r="J109" s="8" t="s">
        <v>19</v>
      </c>
      <c r="K109" s="11">
        <v>20</v>
      </c>
      <c r="L109" s="11">
        <v>10</v>
      </c>
      <c r="M109" s="11">
        <v>20</v>
      </c>
    </row>
    <row r="110" spans="1:13" ht="16.5" customHeight="1" x14ac:dyDescent="0.3">
      <c r="A110" s="8">
        <v>3339</v>
      </c>
      <c r="B110" s="8" t="s">
        <v>137</v>
      </c>
      <c r="C110" s="8" t="s">
        <v>22</v>
      </c>
      <c r="D110" s="10">
        <v>45456</v>
      </c>
      <c r="E110" s="8" t="s">
        <v>23</v>
      </c>
      <c r="F110" s="11">
        <v>5</v>
      </c>
      <c r="G110" s="8" t="s">
        <v>27</v>
      </c>
      <c r="H110" s="8" t="s">
        <v>23</v>
      </c>
      <c r="I110" s="11" t="s">
        <v>314</v>
      </c>
      <c r="J110" s="8" t="s">
        <v>23</v>
      </c>
      <c r="K110" s="11">
        <v>0</v>
      </c>
      <c r="L110" s="11">
        <v>1</v>
      </c>
      <c r="M110" s="11">
        <v>4</v>
      </c>
    </row>
    <row r="111" spans="1:13" ht="16.5" customHeight="1" x14ac:dyDescent="0.3">
      <c r="A111" s="8">
        <v>3340</v>
      </c>
      <c r="B111" s="8" t="s">
        <v>138</v>
      </c>
      <c r="C111" s="8" t="s">
        <v>18</v>
      </c>
      <c r="D111" s="10">
        <v>45457</v>
      </c>
      <c r="E111" s="8" t="s">
        <v>19</v>
      </c>
      <c r="F111" s="11">
        <v>15</v>
      </c>
      <c r="G111" s="8" t="s">
        <v>20</v>
      </c>
      <c r="H111" s="8" t="s">
        <v>19</v>
      </c>
      <c r="I111" s="11">
        <v>30</v>
      </c>
      <c r="J111" s="8" t="s">
        <v>19</v>
      </c>
      <c r="K111" s="11">
        <v>20</v>
      </c>
      <c r="L111" s="11">
        <v>15</v>
      </c>
      <c r="M111" s="11">
        <v>50</v>
      </c>
    </row>
    <row r="112" spans="1:13" ht="16.5" customHeight="1" x14ac:dyDescent="0.3">
      <c r="A112" s="8">
        <v>3341</v>
      </c>
      <c r="B112" s="8" t="s">
        <v>139</v>
      </c>
      <c r="C112" s="8" t="s">
        <v>26</v>
      </c>
      <c r="D112" s="10">
        <v>45458</v>
      </c>
      <c r="E112" s="8" t="s">
        <v>23</v>
      </c>
      <c r="F112" s="11">
        <v>10</v>
      </c>
      <c r="G112" s="8" t="s">
        <v>20</v>
      </c>
      <c r="H112" s="8" t="s">
        <v>23</v>
      </c>
      <c r="I112" s="11" t="s">
        <v>314</v>
      </c>
      <c r="J112" s="8" t="s">
        <v>19</v>
      </c>
      <c r="K112" s="11">
        <v>20</v>
      </c>
      <c r="L112" s="11">
        <v>5</v>
      </c>
      <c r="M112" s="11">
        <v>25</v>
      </c>
    </row>
    <row r="113" spans="1:13" ht="16.5" customHeight="1" x14ac:dyDescent="0.3">
      <c r="A113" s="8">
        <v>3342</v>
      </c>
      <c r="B113" s="8" t="s">
        <v>140</v>
      </c>
      <c r="C113" s="8" t="s">
        <v>22</v>
      </c>
      <c r="D113" s="10">
        <v>45459</v>
      </c>
      <c r="E113" s="8" t="s">
        <v>19</v>
      </c>
      <c r="F113" s="11">
        <v>5</v>
      </c>
      <c r="G113" s="8" t="s">
        <v>24</v>
      </c>
      <c r="H113" s="8" t="s">
        <v>23</v>
      </c>
      <c r="I113" s="11" t="s">
        <v>314</v>
      </c>
      <c r="J113" s="8" t="s">
        <v>23</v>
      </c>
      <c r="K113" s="11">
        <v>0</v>
      </c>
      <c r="L113" s="11">
        <v>0</v>
      </c>
      <c r="M113" s="11">
        <v>5</v>
      </c>
    </row>
    <row r="114" spans="1:13" ht="16.5" customHeight="1" x14ac:dyDescent="0.3">
      <c r="A114" s="8">
        <v>3343</v>
      </c>
      <c r="B114" s="8" t="s">
        <v>141</v>
      </c>
      <c r="C114" s="8" t="s">
        <v>18</v>
      </c>
      <c r="D114" s="10">
        <v>45460</v>
      </c>
      <c r="E114" s="8" t="s">
        <v>23</v>
      </c>
      <c r="F114" s="11">
        <v>15</v>
      </c>
      <c r="G114" s="8" t="s">
        <v>27</v>
      </c>
      <c r="H114" s="8" t="s">
        <v>19</v>
      </c>
      <c r="I114" s="11">
        <v>30</v>
      </c>
      <c r="J114" s="8" t="s">
        <v>19</v>
      </c>
      <c r="K114" s="11">
        <v>20</v>
      </c>
      <c r="L114" s="11">
        <v>20</v>
      </c>
      <c r="M114" s="11">
        <v>45</v>
      </c>
    </row>
    <row r="115" spans="1:13" ht="16.5" customHeight="1" x14ac:dyDescent="0.3">
      <c r="A115" s="8">
        <v>3344</v>
      </c>
      <c r="B115" s="8" t="s">
        <v>142</v>
      </c>
      <c r="C115" s="8" t="s">
        <v>26</v>
      </c>
      <c r="D115" s="10">
        <v>45461</v>
      </c>
      <c r="E115" s="8" t="s">
        <v>19</v>
      </c>
      <c r="F115" s="11">
        <v>10</v>
      </c>
      <c r="G115" s="8" t="s">
        <v>27</v>
      </c>
      <c r="H115" s="8" t="s">
        <v>23</v>
      </c>
      <c r="I115" s="11" t="s">
        <v>314</v>
      </c>
      <c r="J115" s="8" t="s">
        <v>19</v>
      </c>
      <c r="K115" s="11">
        <v>20</v>
      </c>
      <c r="L115" s="11">
        <v>12</v>
      </c>
      <c r="M115" s="11">
        <v>18</v>
      </c>
    </row>
    <row r="116" spans="1:13" ht="16.5" customHeight="1" x14ac:dyDescent="0.3">
      <c r="A116" s="8">
        <v>3345</v>
      </c>
      <c r="B116" s="8" t="s">
        <v>143</v>
      </c>
      <c r="C116" s="8" t="s">
        <v>22</v>
      </c>
      <c r="D116" s="10">
        <v>45462</v>
      </c>
      <c r="E116" s="8" t="s">
        <v>23</v>
      </c>
      <c r="F116" s="11">
        <v>5</v>
      </c>
      <c r="G116" s="8" t="s">
        <v>20</v>
      </c>
      <c r="H116" s="8" t="s">
        <v>23</v>
      </c>
      <c r="I116" s="11" t="s">
        <v>314</v>
      </c>
      <c r="J116" s="8" t="s">
        <v>23</v>
      </c>
      <c r="K116" s="11">
        <v>0</v>
      </c>
      <c r="L116" s="11">
        <v>2</v>
      </c>
      <c r="M116" s="11">
        <v>3</v>
      </c>
    </row>
    <row r="117" spans="1:13" ht="16.5" customHeight="1" x14ac:dyDescent="0.3">
      <c r="A117" s="8">
        <v>3346</v>
      </c>
      <c r="B117" s="8" t="s">
        <v>144</v>
      </c>
      <c r="C117" s="8" t="s">
        <v>18</v>
      </c>
      <c r="D117" s="10">
        <v>45463</v>
      </c>
      <c r="E117" s="8" t="s">
        <v>19</v>
      </c>
      <c r="F117" s="11">
        <v>15</v>
      </c>
      <c r="G117" s="8" t="s">
        <v>24</v>
      </c>
      <c r="H117" s="8" t="s">
        <v>19</v>
      </c>
      <c r="I117" s="11">
        <v>30</v>
      </c>
      <c r="J117" s="8" t="s">
        <v>19</v>
      </c>
      <c r="K117" s="11">
        <v>20</v>
      </c>
      <c r="L117" s="11">
        <v>5</v>
      </c>
      <c r="M117" s="11">
        <v>60</v>
      </c>
    </row>
    <row r="118" spans="1:13" ht="16.5" customHeight="1" x14ac:dyDescent="0.3">
      <c r="A118" s="8">
        <v>3347</v>
      </c>
      <c r="B118" s="8" t="s">
        <v>145</v>
      </c>
      <c r="C118" s="8" t="s">
        <v>26</v>
      </c>
      <c r="D118" s="10">
        <v>45464</v>
      </c>
      <c r="E118" s="8" t="s">
        <v>23</v>
      </c>
      <c r="F118" s="11">
        <v>10</v>
      </c>
      <c r="G118" s="8" t="s">
        <v>20</v>
      </c>
      <c r="H118" s="8" t="s">
        <v>23</v>
      </c>
      <c r="I118" s="11" t="s">
        <v>314</v>
      </c>
      <c r="J118" s="8" t="s">
        <v>19</v>
      </c>
      <c r="K118" s="11">
        <v>20</v>
      </c>
      <c r="L118" s="11">
        <v>10</v>
      </c>
      <c r="M118" s="11">
        <v>20</v>
      </c>
    </row>
    <row r="119" spans="1:13" ht="16.5" customHeight="1" x14ac:dyDescent="0.3">
      <c r="A119" s="8">
        <v>3348</v>
      </c>
      <c r="B119" s="8" t="s">
        <v>146</v>
      </c>
      <c r="C119" s="8" t="s">
        <v>22</v>
      </c>
      <c r="D119" s="10">
        <v>45465</v>
      </c>
      <c r="E119" s="8" t="s">
        <v>19</v>
      </c>
      <c r="F119" s="11">
        <v>5</v>
      </c>
      <c r="G119" s="8" t="s">
        <v>27</v>
      </c>
      <c r="H119" s="8" t="s">
        <v>23</v>
      </c>
      <c r="I119" s="11" t="s">
        <v>314</v>
      </c>
      <c r="J119" s="8" t="s">
        <v>23</v>
      </c>
      <c r="K119" s="11">
        <v>0</v>
      </c>
      <c r="L119" s="11">
        <v>0</v>
      </c>
      <c r="M119" s="11">
        <v>5</v>
      </c>
    </row>
    <row r="120" spans="1:13" ht="16.5" customHeight="1" x14ac:dyDescent="0.3">
      <c r="A120" s="8">
        <v>3349</v>
      </c>
      <c r="B120" s="8" t="s">
        <v>122</v>
      </c>
      <c r="C120" s="8" t="s">
        <v>18</v>
      </c>
      <c r="D120" s="10">
        <v>45466</v>
      </c>
      <c r="E120" s="8" t="s">
        <v>23</v>
      </c>
      <c r="F120" s="11">
        <v>15</v>
      </c>
      <c r="G120" s="8" t="s">
        <v>20</v>
      </c>
      <c r="H120" s="8" t="s">
        <v>19</v>
      </c>
      <c r="I120" s="11">
        <v>30</v>
      </c>
      <c r="J120" s="8" t="s">
        <v>19</v>
      </c>
      <c r="K120" s="11">
        <v>20</v>
      </c>
      <c r="L120" s="11">
        <v>3</v>
      </c>
      <c r="M120" s="11">
        <v>62</v>
      </c>
    </row>
    <row r="121" spans="1:13" ht="16.5" customHeight="1" x14ac:dyDescent="0.3">
      <c r="A121" s="8">
        <v>3350</v>
      </c>
      <c r="B121" s="8" t="s">
        <v>147</v>
      </c>
      <c r="C121" s="8" t="s">
        <v>26</v>
      </c>
      <c r="D121" s="10">
        <v>45467</v>
      </c>
      <c r="E121" s="8" t="s">
        <v>19</v>
      </c>
      <c r="F121" s="11">
        <v>10</v>
      </c>
      <c r="G121" s="8" t="s">
        <v>24</v>
      </c>
      <c r="H121" s="8" t="s">
        <v>23</v>
      </c>
      <c r="I121" s="11" t="s">
        <v>314</v>
      </c>
      <c r="J121" s="8" t="s">
        <v>19</v>
      </c>
      <c r="K121" s="11">
        <v>20</v>
      </c>
      <c r="L121" s="11">
        <v>15</v>
      </c>
      <c r="M121" s="11">
        <v>15</v>
      </c>
    </row>
    <row r="122" spans="1:13" ht="16.5" customHeight="1" x14ac:dyDescent="0.3">
      <c r="A122" s="8">
        <v>3351</v>
      </c>
      <c r="B122" s="8" t="s">
        <v>148</v>
      </c>
      <c r="C122" s="8" t="s">
        <v>22</v>
      </c>
      <c r="D122" s="10">
        <v>45468</v>
      </c>
      <c r="E122" s="8" t="s">
        <v>23</v>
      </c>
      <c r="F122" s="11">
        <v>5</v>
      </c>
      <c r="G122" s="8" t="s">
        <v>20</v>
      </c>
      <c r="H122" s="8" t="s">
        <v>23</v>
      </c>
      <c r="I122" s="11" t="s">
        <v>314</v>
      </c>
      <c r="J122" s="8" t="s">
        <v>23</v>
      </c>
      <c r="K122" s="11">
        <v>0</v>
      </c>
      <c r="L122" s="11">
        <v>1</v>
      </c>
      <c r="M122" s="11">
        <v>4</v>
      </c>
    </row>
    <row r="123" spans="1:13" ht="16.5" customHeight="1" x14ac:dyDescent="0.3">
      <c r="A123" s="8">
        <v>3352</v>
      </c>
      <c r="B123" s="8" t="s">
        <v>149</v>
      </c>
      <c r="C123" s="8" t="s">
        <v>18</v>
      </c>
      <c r="D123" s="10">
        <v>45469</v>
      </c>
      <c r="E123" s="8" t="s">
        <v>19</v>
      </c>
      <c r="F123" s="11">
        <v>15</v>
      </c>
      <c r="G123" s="8" t="s">
        <v>27</v>
      </c>
      <c r="H123" s="8" t="s">
        <v>19</v>
      </c>
      <c r="I123" s="11">
        <v>30</v>
      </c>
      <c r="J123" s="8" t="s">
        <v>19</v>
      </c>
      <c r="K123" s="11">
        <v>20</v>
      </c>
      <c r="L123" s="11">
        <v>7</v>
      </c>
      <c r="M123" s="11">
        <v>58</v>
      </c>
    </row>
    <row r="124" spans="1:13" ht="16.5" customHeight="1" x14ac:dyDescent="0.3">
      <c r="A124" s="8">
        <v>3353</v>
      </c>
      <c r="B124" s="8" t="s">
        <v>150</v>
      </c>
      <c r="C124" s="8" t="s">
        <v>26</v>
      </c>
      <c r="D124" s="10">
        <v>45470</v>
      </c>
      <c r="E124" s="8" t="s">
        <v>23</v>
      </c>
      <c r="F124" s="11">
        <v>10</v>
      </c>
      <c r="G124" s="8" t="s">
        <v>20</v>
      </c>
      <c r="H124" s="8" t="s">
        <v>23</v>
      </c>
      <c r="I124" s="11" t="s">
        <v>314</v>
      </c>
      <c r="J124" s="8" t="s">
        <v>19</v>
      </c>
      <c r="K124" s="11">
        <v>20</v>
      </c>
      <c r="L124" s="11">
        <v>10</v>
      </c>
      <c r="M124" s="11">
        <v>20</v>
      </c>
    </row>
    <row r="125" spans="1:13" ht="16.5" customHeight="1" x14ac:dyDescent="0.3">
      <c r="A125" s="8">
        <v>3354</v>
      </c>
      <c r="B125" s="8" t="s">
        <v>151</v>
      </c>
      <c r="C125" s="8" t="s">
        <v>22</v>
      </c>
      <c r="D125" s="10">
        <v>45471</v>
      </c>
      <c r="E125" s="8" t="s">
        <v>19</v>
      </c>
      <c r="F125" s="11">
        <v>5</v>
      </c>
      <c r="G125" s="8" t="s">
        <v>24</v>
      </c>
      <c r="H125" s="8" t="s">
        <v>23</v>
      </c>
      <c r="I125" s="11" t="s">
        <v>314</v>
      </c>
      <c r="J125" s="8" t="s">
        <v>23</v>
      </c>
      <c r="K125" s="11">
        <v>0</v>
      </c>
      <c r="L125" s="11">
        <v>0</v>
      </c>
      <c r="M125" s="11">
        <v>5</v>
      </c>
    </row>
    <row r="126" spans="1:13" ht="16.5" customHeight="1" x14ac:dyDescent="0.3">
      <c r="A126" s="8">
        <v>3355</v>
      </c>
      <c r="B126" s="8" t="s">
        <v>152</v>
      </c>
      <c r="C126" s="8" t="s">
        <v>18</v>
      </c>
      <c r="D126" s="10">
        <v>45472</v>
      </c>
      <c r="E126" s="8" t="s">
        <v>23</v>
      </c>
      <c r="F126" s="11">
        <v>15</v>
      </c>
      <c r="G126" s="8" t="s">
        <v>20</v>
      </c>
      <c r="H126" s="8" t="s">
        <v>19</v>
      </c>
      <c r="I126" s="11">
        <v>30</v>
      </c>
      <c r="J126" s="8" t="s">
        <v>19</v>
      </c>
      <c r="K126" s="11">
        <v>20</v>
      </c>
      <c r="L126" s="11">
        <v>20</v>
      </c>
      <c r="M126" s="11">
        <v>45</v>
      </c>
    </row>
    <row r="127" spans="1:13" ht="16.5" customHeight="1" x14ac:dyDescent="0.3">
      <c r="A127" s="8">
        <v>3356</v>
      </c>
      <c r="B127" s="8" t="s">
        <v>153</v>
      </c>
      <c r="C127" s="8" t="s">
        <v>26</v>
      </c>
      <c r="D127" s="10">
        <v>45473</v>
      </c>
      <c r="E127" s="8" t="s">
        <v>19</v>
      </c>
      <c r="F127" s="11">
        <v>10</v>
      </c>
      <c r="G127" s="8" t="s">
        <v>27</v>
      </c>
      <c r="H127" s="8" t="s">
        <v>23</v>
      </c>
      <c r="I127" s="11" t="s">
        <v>314</v>
      </c>
      <c r="J127" s="8" t="s">
        <v>19</v>
      </c>
      <c r="K127" s="11">
        <v>20</v>
      </c>
      <c r="L127" s="11">
        <v>15</v>
      </c>
      <c r="M127" s="11">
        <v>15</v>
      </c>
    </row>
    <row r="128" spans="1:13" ht="16.5" customHeight="1" x14ac:dyDescent="0.3">
      <c r="A128" s="8">
        <v>3357</v>
      </c>
      <c r="B128" s="8" t="s">
        <v>154</v>
      </c>
      <c r="C128" s="8" t="s">
        <v>22</v>
      </c>
      <c r="D128" s="10">
        <v>45474</v>
      </c>
      <c r="E128" s="8" t="s">
        <v>23</v>
      </c>
      <c r="F128" s="11">
        <v>5</v>
      </c>
      <c r="G128" s="8" t="s">
        <v>20</v>
      </c>
      <c r="H128" s="8" t="s">
        <v>23</v>
      </c>
      <c r="I128" s="11" t="s">
        <v>314</v>
      </c>
      <c r="J128" s="8" t="s">
        <v>23</v>
      </c>
      <c r="K128" s="11">
        <v>0</v>
      </c>
      <c r="L128" s="11">
        <v>1</v>
      </c>
      <c r="M128" s="11">
        <v>4</v>
      </c>
    </row>
    <row r="129" spans="1:13" ht="16.5" customHeight="1" x14ac:dyDescent="0.3">
      <c r="A129" s="8">
        <v>3358</v>
      </c>
      <c r="B129" s="8" t="s">
        <v>155</v>
      </c>
      <c r="C129" s="8" t="s">
        <v>18</v>
      </c>
      <c r="D129" s="10">
        <v>45475</v>
      </c>
      <c r="E129" s="8" t="s">
        <v>19</v>
      </c>
      <c r="F129" s="11">
        <v>15</v>
      </c>
      <c r="G129" s="8" t="s">
        <v>24</v>
      </c>
      <c r="H129" s="8" t="s">
        <v>19</v>
      </c>
      <c r="I129" s="11">
        <v>30</v>
      </c>
      <c r="J129" s="8" t="s">
        <v>19</v>
      </c>
      <c r="K129" s="11">
        <v>20</v>
      </c>
      <c r="L129" s="11">
        <v>3</v>
      </c>
      <c r="M129" s="11">
        <v>62</v>
      </c>
    </row>
    <row r="130" spans="1:13" ht="16.5" customHeight="1" x14ac:dyDescent="0.3">
      <c r="A130" s="8">
        <v>3359</v>
      </c>
      <c r="B130" s="8" t="s">
        <v>156</v>
      </c>
      <c r="C130" s="8" t="s">
        <v>26</v>
      </c>
      <c r="D130" s="10">
        <v>45476</v>
      </c>
      <c r="E130" s="8" t="s">
        <v>23</v>
      </c>
      <c r="F130" s="11">
        <v>10</v>
      </c>
      <c r="G130" s="8" t="s">
        <v>20</v>
      </c>
      <c r="H130" s="8" t="s">
        <v>23</v>
      </c>
      <c r="I130" s="11" t="s">
        <v>314</v>
      </c>
      <c r="J130" s="8" t="s">
        <v>19</v>
      </c>
      <c r="K130" s="11">
        <v>20</v>
      </c>
      <c r="L130" s="11">
        <v>10</v>
      </c>
      <c r="M130" s="11">
        <v>20</v>
      </c>
    </row>
    <row r="131" spans="1:13" ht="16.5" customHeight="1" x14ac:dyDescent="0.3">
      <c r="A131" s="8">
        <v>3360</v>
      </c>
      <c r="B131" s="8" t="s">
        <v>157</v>
      </c>
      <c r="C131" s="8" t="s">
        <v>22</v>
      </c>
      <c r="D131" s="10">
        <v>45477</v>
      </c>
      <c r="E131" s="8" t="s">
        <v>19</v>
      </c>
      <c r="F131" s="11">
        <v>5</v>
      </c>
      <c r="G131" s="8" t="s">
        <v>27</v>
      </c>
      <c r="H131" s="8" t="s">
        <v>23</v>
      </c>
      <c r="I131" s="11" t="s">
        <v>314</v>
      </c>
      <c r="J131" s="8" t="s">
        <v>23</v>
      </c>
      <c r="K131" s="11">
        <v>0</v>
      </c>
      <c r="L131" s="11">
        <v>0</v>
      </c>
      <c r="M131" s="11">
        <v>5</v>
      </c>
    </row>
    <row r="132" spans="1:13" ht="16.5" customHeight="1" x14ac:dyDescent="0.3">
      <c r="A132" s="8">
        <v>3361</v>
      </c>
      <c r="B132" s="8" t="s">
        <v>158</v>
      </c>
      <c r="C132" s="8" t="s">
        <v>18</v>
      </c>
      <c r="D132" s="10">
        <v>45478</v>
      </c>
      <c r="E132" s="8" t="s">
        <v>23</v>
      </c>
      <c r="F132" s="11">
        <v>15</v>
      </c>
      <c r="G132" s="8" t="s">
        <v>20</v>
      </c>
      <c r="H132" s="8" t="s">
        <v>19</v>
      </c>
      <c r="I132" s="11">
        <v>30</v>
      </c>
      <c r="J132" s="8" t="s">
        <v>19</v>
      </c>
      <c r="K132" s="11">
        <v>20</v>
      </c>
      <c r="L132" s="11">
        <v>15</v>
      </c>
      <c r="M132" s="11">
        <v>50</v>
      </c>
    </row>
    <row r="133" spans="1:13" ht="16.5" customHeight="1" x14ac:dyDescent="0.3">
      <c r="A133" s="8">
        <v>3362</v>
      </c>
      <c r="B133" s="8" t="s">
        <v>159</v>
      </c>
      <c r="C133" s="8" t="s">
        <v>26</v>
      </c>
      <c r="D133" s="10">
        <v>45479</v>
      </c>
      <c r="E133" s="8" t="s">
        <v>19</v>
      </c>
      <c r="F133" s="11">
        <v>10</v>
      </c>
      <c r="G133" s="8" t="s">
        <v>24</v>
      </c>
      <c r="H133" s="8" t="s">
        <v>23</v>
      </c>
      <c r="I133" s="11" t="s">
        <v>314</v>
      </c>
      <c r="J133" s="8" t="s">
        <v>19</v>
      </c>
      <c r="K133" s="11">
        <v>20</v>
      </c>
      <c r="L133" s="11">
        <v>15</v>
      </c>
      <c r="M133" s="11">
        <v>15</v>
      </c>
    </row>
    <row r="134" spans="1:13" ht="16.5" customHeight="1" x14ac:dyDescent="0.3">
      <c r="A134" s="8">
        <v>3363</v>
      </c>
      <c r="B134" s="8" t="s">
        <v>160</v>
      </c>
      <c r="C134" s="8" t="s">
        <v>22</v>
      </c>
      <c r="D134" s="10">
        <v>45480</v>
      </c>
      <c r="E134" s="8" t="s">
        <v>23</v>
      </c>
      <c r="F134" s="11">
        <v>5</v>
      </c>
      <c r="G134" s="8" t="s">
        <v>20</v>
      </c>
      <c r="H134" s="8" t="s">
        <v>23</v>
      </c>
      <c r="I134" s="11" t="s">
        <v>314</v>
      </c>
      <c r="J134" s="8" t="s">
        <v>23</v>
      </c>
      <c r="K134" s="11">
        <v>0</v>
      </c>
      <c r="L134" s="11">
        <v>1</v>
      </c>
      <c r="M134" s="11">
        <v>4</v>
      </c>
    </row>
    <row r="135" spans="1:13" ht="16.5" customHeight="1" x14ac:dyDescent="0.3">
      <c r="A135" s="8">
        <v>3364</v>
      </c>
      <c r="B135" s="8" t="s">
        <v>161</v>
      </c>
      <c r="C135" s="8" t="s">
        <v>18</v>
      </c>
      <c r="D135" s="10">
        <v>45481</v>
      </c>
      <c r="E135" s="8" t="s">
        <v>19</v>
      </c>
      <c r="F135" s="11">
        <v>15</v>
      </c>
      <c r="G135" s="8" t="s">
        <v>27</v>
      </c>
      <c r="H135" s="8" t="s">
        <v>19</v>
      </c>
      <c r="I135" s="11">
        <v>30</v>
      </c>
      <c r="J135" s="8" t="s">
        <v>19</v>
      </c>
      <c r="K135" s="11">
        <v>20</v>
      </c>
      <c r="L135" s="11">
        <v>7</v>
      </c>
      <c r="M135" s="11">
        <v>58</v>
      </c>
    </row>
    <row r="136" spans="1:13" ht="16.5" customHeight="1" x14ac:dyDescent="0.3">
      <c r="A136" s="8">
        <v>3365</v>
      </c>
      <c r="B136" s="8" t="s">
        <v>162</v>
      </c>
      <c r="C136" s="8" t="s">
        <v>26</v>
      </c>
      <c r="D136" s="10">
        <v>45482</v>
      </c>
      <c r="E136" s="8" t="s">
        <v>23</v>
      </c>
      <c r="F136" s="11">
        <v>10</v>
      </c>
      <c r="G136" s="8" t="s">
        <v>20</v>
      </c>
      <c r="H136" s="8" t="s">
        <v>23</v>
      </c>
      <c r="I136" s="11" t="s">
        <v>314</v>
      </c>
      <c r="J136" s="8" t="s">
        <v>19</v>
      </c>
      <c r="K136" s="11">
        <v>20</v>
      </c>
      <c r="L136" s="11">
        <v>10</v>
      </c>
      <c r="M136" s="11">
        <v>20</v>
      </c>
    </row>
    <row r="137" spans="1:13" ht="16.5" customHeight="1" x14ac:dyDescent="0.3">
      <c r="A137" s="8">
        <v>3366</v>
      </c>
      <c r="B137" s="8" t="s">
        <v>163</v>
      </c>
      <c r="C137" s="8" t="s">
        <v>22</v>
      </c>
      <c r="D137" s="10">
        <v>45483</v>
      </c>
      <c r="E137" s="8" t="s">
        <v>19</v>
      </c>
      <c r="F137" s="11">
        <v>5</v>
      </c>
      <c r="G137" s="8" t="s">
        <v>20</v>
      </c>
      <c r="H137" s="8" t="s">
        <v>23</v>
      </c>
      <c r="I137" s="11" t="s">
        <v>314</v>
      </c>
      <c r="J137" s="8" t="s">
        <v>23</v>
      </c>
      <c r="K137" s="11">
        <v>0</v>
      </c>
      <c r="L137" s="11">
        <v>0</v>
      </c>
      <c r="M137" s="11">
        <v>5</v>
      </c>
    </row>
    <row r="138" spans="1:13" ht="16.5" customHeight="1" x14ac:dyDescent="0.3">
      <c r="A138" s="8">
        <v>3367</v>
      </c>
      <c r="B138" s="8" t="s">
        <v>164</v>
      </c>
      <c r="C138" s="8" t="s">
        <v>18</v>
      </c>
      <c r="D138" s="10">
        <v>45484</v>
      </c>
      <c r="E138" s="8" t="s">
        <v>23</v>
      </c>
      <c r="F138" s="11">
        <v>15</v>
      </c>
      <c r="G138" s="8" t="s">
        <v>27</v>
      </c>
      <c r="H138" s="8" t="s">
        <v>19</v>
      </c>
      <c r="I138" s="11">
        <v>30</v>
      </c>
      <c r="J138" s="8" t="s">
        <v>19</v>
      </c>
      <c r="K138" s="11">
        <v>20</v>
      </c>
      <c r="L138" s="11">
        <v>7</v>
      </c>
      <c r="M138" s="11">
        <v>58</v>
      </c>
    </row>
    <row r="139" spans="1:13" ht="16.5" customHeight="1" x14ac:dyDescent="0.3">
      <c r="A139" s="8">
        <v>3368</v>
      </c>
      <c r="B139" s="8" t="s">
        <v>165</v>
      </c>
      <c r="C139" s="8" t="s">
        <v>26</v>
      </c>
      <c r="D139" s="10">
        <v>45485</v>
      </c>
      <c r="E139" s="8" t="s">
        <v>19</v>
      </c>
      <c r="F139" s="11">
        <v>10</v>
      </c>
      <c r="G139" s="8" t="s">
        <v>24</v>
      </c>
      <c r="H139" s="8" t="s">
        <v>23</v>
      </c>
      <c r="I139" s="11" t="s">
        <v>314</v>
      </c>
      <c r="J139" s="8" t="s">
        <v>19</v>
      </c>
      <c r="K139" s="11">
        <v>20</v>
      </c>
      <c r="L139" s="11">
        <v>10</v>
      </c>
      <c r="M139" s="11">
        <v>20</v>
      </c>
    </row>
    <row r="140" spans="1:13" ht="16.5" customHeight="1" x14ac:dyDescent="0.3">
      <c r="A140" s="8">
        <v>3369</v>
      </c>
      <c r="B140" s="8" t="s">
        <v>166</v>
      </c>
      <c r="C140" s="8" t="s">
        <v>22</v>
      </c>
      <c r="D140" s="10">
        <v>45486</v>
      </c>
      <c r="E140" s="8" t="s">
        <v>23</v>
      </c>
      <c r="F140" s="11">
        <v>5</v>
      </c>
      <c r="G140" s="8" t="s">
        <v>27</v>
      </c>
      <c r="H140" s="8" t="s">
        <v>23</v>
      </c>
      <c r="I140" s="11" t="s">
        <v>314</v>
      </c>
      <c r="J140" s="8" t="s">
        <v>23</v>
      </c>
      <c r="K140" s="11">
        <v>0</v>
      </c>
      <c r="L140" s="11">
        <v>1</v>
      </c>
      <c r="M140" s="11">
        <v>4</v>
      </c>
    </row>
    <row r="141" spans="1:13" ht="16.5" customHeight="1" x14ac:dyDescent="0.3">
      <c r="A141" s="8">
        <v>3370</v>
      </c>
      <c r="B141" s="8" t="s">
        <v>167</v>
      </c>
      <c r="C141" s="8" t="s">
        <v>18</v>
      </c>
      <c r="D141" s="10">
        <v>45487</v>
      </c>
      <c r="E141" s="8" t="s">
        <v>19</v>
      </c>
      <c r="F141" s="11">
        <v>15</v>
      </c>
      <c r="G141" s="8" t="s">
        <v>20</v>
      </c>
      <c r="H141" s="8" t="s">
        <v>19</v>
      </c>
      <c r="I141" s="11">
        <v>30</v>
      </c>
      <c r="J141" s="8" t="s">
        <v>19</v>
      </c>
      <c r="K141" s="11">
        <v>20</v>
      </c>
      <c r="L141" s="11">
        <v>15</v>
      </c>
      <c r="M141" s="11">
        <v>50</v>
      </c>
    </row>
    <row r="142" spans="1:13" ht="16.5" customHeight="1" x14ac:dyDescent="0.3">
      <c r="A142" s="8">
        <v>3371</v>
      </c>
      <c r="B142" s="8" t="s">
        <v>168</v>
      </c>
      <c r="C142" s="8" t="s">
        <v>26</v>
      </c>
      <c r="D142" s="10">
        <v>45488</v>
      </c>
      <c r="E142" s="8" t="s">
        <v>23</v>
      </c>
      <c r="F142" s="11">
        <v>10</v>
      </c>
      <c r="G142" s="8" t="s">
        <v>20</v>
      </c>
      <c r="H142" s="8" t="s">
        <v>23</v>
      </c>
      <c r="I142" s="11" t="s">
        <v>314</v>
      </c>
      <c r="J142" s="8" t="s">
        <v>19</v>
      </c>
      <c r="K142" s="11">
        <v>20</v>
      </c>
      <c r="L142" s="11">
        <v>5</v>
      </c>
      <c r="M142" s="11">
        <v>25</v>
      </c>
    </row>
    <row r="143" spans="1:13" ht="16.5" customHeight="1" x14ac:dyDescent="0.3">
      <c r="A143" s="8">
        <v>3372</v>
      </c>
      <c r="B143" s="8" t="s">
        <v>169</v>
      </c>
      <c r="C143" s="8" t="s">
        <v>22</v>
      </c>
      <c r="D143" s="10">
        <v>45489</v>
      </c>
      <c r="E143" s="8" t="s">
        <v>19</v>
      </c>
      <c r="F143" s="11">
        <v>5</v>
      </c>
      <c r="G143" s="8" t="s">
        <v>24</v>
      </c>
      <c r="H143" s="8" t="s">
        <v>23</v>
      </c>
      <c r="I143" s="11" t="s">
        <v>314</v>
      </c>
      <c r="J143" s="8" t="s">
        <v>23</v>
      </c>
      <c r="K143" s="11">
        <v>0</v>
      </c>
      <c r="L143" s="11">
        <v>0</v>
      </c>
      <c r="M143" s="11">
        <v>5</v>
      </c>
    </row>
    <row r="144" spans="1:13" ht="16.5" customHeight="1" x14ac:dyDescent="0.3">
      <c r="A144" s="8">
        <v>3373</v>
      </c>
      <c r="B144" s="8" t="s">
        <v>170</v>
      </c>
      <c r="C144" s="8" t="s">
        <v>18</v>
      </c>
      <c r="D144" s="10">
        <v>45490</v>
      </c>
      <c r="E144" s="8" t="s">
        <v>23</v>
      </c>
      <c r="F144" s="11">
        <v>15</v>
      </c>
      <c r="G144" s="8" t="s">
        <v>27</v>
      </c>
      <c r="H144" s="8" t="s">
        <v>19</v>
      </c>
      <c r="I144" s="11">
        <v>30</v>
      </c>
      <c r="J144" s="8" t="s">
        <v>19</v>
      </c>
      <c r="K144" s="11">
        <v>20</v>
      </c>
      <c r="L144" s="11">
        <v>20</v>
      </c>
      <c r="M144" s="11">
        <v>45</v>
      </c>
    </row>
    <row r="145" spans="1:13" ht="16.5" customHeight="1" x14ac:dyDescent="0.3">
      <c r="A145" s="8">
        <v>3374</v>
      </c>
      <c r="B145" s="8" t="s">
        <v>171</v>
      </c>
      <c r="C145" s="8" t="s">
        <v>26</v>
      </c>
      <c r="D145" s="10">
        <v>45491</v>
      </c>
      <c r="E145" s="8" t="s">
        <v>19</v>
      </c>
      <c r="F145" s="11">
        <v>10</v>
      </c>
      <c r="G145" s="8" t="s">
        <v>27</v>
      </c>
      <c r="H145" s="8" t="s">
        <v>23</v>
      </c>
      <c r="I145" s="11" t="s">
        <v>314</v>
      </c>
      <c r="J145" s="8" t="s">
        <v>19</v>
      </c>
      <c r="K145" s="11">
        <v>20</v>
      </c>
      <c r="L145" s="11">
        <v>12</v>
      </c>
      <c r="M145" s="11">
        <v>18</v>
      </c>
    </row>
    <row r="146" spans="1:13" ht="16.5" customHeight="1" x14ac:dyDescent="0.3">
      <c r="A146" s="8">
        <v>3375</v>
      </c>
      <c r="B146" s="8" t="s">
        <v>172</v>
      </c>
      <c r="C146" s="8" t="s">
        <v>22</v>
      </c>
      <c r="D146" s="10">
        <v>45492</v>
      </c>
      <c r="E146" s="8" t="s">
        <v>23</v>
      </c>
      <c r="F146" s="11">
        <v>5</v>
      </c>
      <c r="G146" s="8" t="s">
        <v>20</v>
      </c>
      <c r="H146" s="8" t="s">
        <v>23</v>
      </c>
      <c r="I146" s="11" t="s">
        <v>314</v>
      </c>
      <c r="J146" s="8" t="s">
        <v>23</v>
      </c>
      <c r="K146" s="11">
        <v>0</v>
      </c>
      <c r="L146" s="11">
        <v>2</v>
      </c>
      <c r="M146" s="11">
        <v>3</v>
      </c>
    </row>
    <row r="147" spans="1:13" ht="16.5" customHeight="1" x14ac:dyDescent="0.3">
      <c r="A147" s="8">
        <v>3376</v>
      </c>
      <c r="B147" s="8" t="s">
        <v>173</v>
      </c>
      <c r="C147" s="8" t="s">
        <v>18</v>
      </c>
      <c r="D147" s="10">
        <v>45493</v>
      </c>
      <c r="E147" s="8" t="s">
        <v>19</v>
      </c>
      <c r="F147" s="11">
        <v>15</v>
      </c>
      <c r="G147" s="8" t="s">
        <v>24</v>
      </c>
      <c r="H147" s="8" t="s">
        <v>19</v>
      </c>
      <c r="I147" s="11">
        <v>30</v>
      </c>
      <c r="J147" s="8" t="s">
        <v>19</v>
      </c>
      <c r="K147" s="11">
        <v>20</v>
      </c>
      <c r="L147" s="11">
        <v>5</v>
      </c>
      <c r="M147" s="11">
        <v>60</v>
      </c>
    </row>
    <row r="148" spans="1:13" ht="16.5" customHeight="1" x14ac:dyDescent="0.3">
      <c r="A148" s="8">
        <v>3377</v>
      </c>
      <c r="B148" s="8" t="s">
        <v>174</v>
      </c>
      <c r="C148" s="8" t="s">
        <v>26</v>
      </c>
      <c r="D148" s="10">
        <v>45494</v>
      </c>
      <c r="E148" s="8" t="s">
        <v>23</v>
      </c>
      <c r="F148" s="11">
        <v>10</v>
      </c>
      <c r="G148" s="8" t="s">
        <v>20</v>
      </c>
      <c r="H148" s="8" t="s">
        <v>23</v>
      </c>
      <c r="I148" s="11" t="s">
        <v>314</v>
      </c>
      <c r="J148" s="8" t="s">
        <v>19</v>
      </c>
      <c r="K148" s="11">
        <v>20</v>
      </c>
      <c r="L148" s="11">
        <v>10</v>
      </c>
      <c r="M148" s="11">
        <v>20</v>
      </c>
    </row>
    <row r="149" spans="1:13" ht="16.5" customHeight="1" x14ac:dyDescent="0.3">
      <c r="A149" s="8">
        <v>3378</v>
      </c>
      <c r="B149" s="8" t="s">
        <v>175</v>
      </c>
      <c r="C149" s="8" t="s">
        <v>22</v>
      </c>
      <c r="D149" s="10">
        <v>45495</v>
      </c>
      <c r="E149" s="8" t="s">
        <v>19</v>
      </c>
      <c r="F149" s="11">
        <v>5</v>
      </c>
      <c r="G149" s="8" t="s">
        <v>27</v>
      </c>
      <c r="H149" s="8" t="s">
        <v>23</v>
      </c>
      <c r="I149" s="11" t="s">
        <v>314</v>
      </c>
      <c r="J149" s="8" t="s">
        <v>23</v>
      </c>
      <c r="K149" s="11">
        <v>0</v>
      </c>
      <c r="L149" s="11">
        <v>0</v>
      </c>
      <c r="M149" s="11">
        <v>5</v>
      </c>
    </row>
    <row r="150" spans="1:13" ht="16.5" customHeight="1" x14ac:dyDescent="0.3">
      <c r="A150" s="8">
        <v>3379</v>
      </c>
      <c r="B150" s="8" t="s">
        <v>176</v>
      </c>
      <c r="C150" s="8" t="s">
        <v>18</v>
      </c>
      <c r="D150" s="10">
        <v>45496</v>
      </c>
      <c r="E150" s="8" t="s">
        <v>23</v>
      </c>
      <c r="F150" s="11">
        <v>15</v>
      </c>
      <c r="G150" s="8" t="s">
        <v>20</v>
      </c>
      <c r="H150" s="8" t="s">
        <v>19</v>
      </c>
      <c r="I150" s="11">
        <v>30</v>
      </c>
      <c r="J150" s="8" t="s">
        <v>19</v>
      </c>
      <c r="K150" s="11">
        <v>20</v>
      </c>
      <c r="L150" s="11">
        <v>3</v>
      </c>
      <c r="M150" s="11">
        <v>62</v>
      </c>
    </row>
    <row r="151" spans="1:13" ht="16.5" customHeight="1" x14ac:dyDescent="0.3">
      <c r="A151" s="8">
        <v>3380</v>
      </c>
      <c r="B151" s="8" t="s">
        <v>177</v>
      </c>
      <c r="C151" s="8" t="s">
        <v>26</v>
      </c>
      <c r="D151" s="10">
        <v>45497</v>
      </c>
      <c r="E151" s="8" t="s">
        <v>19</v>
      </c>
      <c r="F151" s="11">
        <v>10</v>
      </c>
      <c r="G151" s="8" t="s">
        <v>24</v>
      </c>
      <c r="H151" s="8" t="s">
        <v>23</v>
      </c>
      <c r="I151" s="11" t="s">
        <v>314</v>
      </c>
      <c r="J151" s="8" t="s">
        <v>19</v>
      </c>
      <c r="K151" s="11">
        <v>20</v>
      </c>
      <c r="L151" s="11">
        <v>15</v>
      </c>
      <c r="M151" s="11">
        <v>15</v>
      </c>
    </row>
    <row r="152" spans="1:13" ht="16.5" customHeight="1" x14ac:dyDescent="0.3">
      <c r="A152" s="8">
        <v>3381</v>
      </c>
      <c r="B152" s="8" t="s">
        <v>178</v>
      </c>
      <c r="C152" s="8" t="s">
        <v>22</v>
      </c>
      <c r="D152" s="10">
        <v>45498</v>
      </c>
      <c r="E152" s="8" t="s">
        <v>23</v>
      </c>
      <c r="F152" s="11">
        <v>5</v>
      </c>
      <c r="G152" s="8" t="s">
        <v>20</v>
      </c>
      <c r="H152" s="8" t="s">
        <v>23</v>
      </c>
      <c r="I152" s="11" t="s">
        <v>314</v>
      </c>
      <c r="J152" s="8" t="s">
        <v>23</v>
      </c>
      <c r="K152" s="11">
        <v>0</v>
      </c>
      <c r="L152" s="11">
        <v>1</v>
      </c>
      <c r="M152" s="11">
        <v>4</v>
      </c>
    </row>
    <row r="153" spans="1:13" ht="16.5" customHeight="1" x14ac:dyDescent="0.3">
      <c r="A153" s="8">
        <v>3382</v>
      </c>
      <c r="B153" s="8" t="s">
        <v>179</v>
      </c>
      <c r="C153" s="8" t="s">
        <v>18</v>
      </c>
      <c r="D153" s="10">
        <v>45499</v>
      </c>
      <c r="E153" s="8" t="s">
        <v>19</v>
      </c>
      <c r="F153" s="11">
        <v>15</v>
      </c>
      <c r="G153" s="8" t="s">
        <v>27</v>
      </c>
      <c r="H153" s="8" t="s">
        <v>19</v>
      </c>
      <c r="I153" s="11">
        <v>30</v>
      </c>
      <c r="J153" s="8" t="s">
        <v>19</v>
      </c>
      <c r="K153" s="11">
        <v>20</v>
      </c>
      <c r="L153" s="11">
        <v>7</v>
      </c>
      <c r="M153" s="11">
        <v>58</v>
      </c>
    </row>
    <row r="154" spans="1:13" ht="16.5" customHeight="1" x14ac:dyDescent="0.3">
      <c r="A154" s="8">
        <v>3383</v>
      </c>
      <c r="B154" s="8" t="s">
        <v>180</v>
      </c>
      <c r="C154" s="8" t="s">
        <v>26</v>
      </c>
      <c r="D154" s="10">
        <v>45500</v>
      </c>
      <c r="E154" s="8" t="s">
        <v>23</v>
      </c>
      <c r="F154" s="11">
        <v>10</v>
      </c>
      <c r="G154" s="8" t="s">
        <v>20</v>
      </c>
      <c r="H154" s="8" t="s">
        <v>23</v>
      </c>
      <c r="I154" s="11" t="s">
        <v>314</v>
      </c>
      <c r="J154" s="8" t="s">
        <v>19</v>
      </c>
      <c r="K154" s="11">
        <v>20</v>
      </c>
      <c r="L154" s="11">
        <v>10</v>
      </c>
      <c r="M154" s="11">
        <v>20</v>
      </c>
    </row>
    <row r="155" spans="1:13" ht="16.5" customHeight="1" x14ac:dyDescent="0.3">
      <c r="A155" s="8">
        <v>3384</v>
      </c>
      <c r="B155" s="8" t="s">
        <v>181</v>
      </c>
      <c r="C155" s="8" t="s">
        <v>22</v>
      </c>
      <c r="D155" s="10">
        <v>45501</v>
      </c>
      <c r="E155" s="8" t="s">
        <v>19</v>
      </c>
      <c r="F155" s="11">
        <v>5</v>
      </c>
      <c r="G155" s="8" t="s">
        <v>24</v>
      </c>
      <c r="H155" s="8" t="s">
        <v>23</v>
      </c>
      <c r="I155" s="11" t="s">
        <v>314</v>
      </c>
      <c r="J155" s="8" t="s">
        <v>23</v>
      </c>
      <c r="K155" s="11">
        <v>0</v>
      </c>
      <c r="L155" s="11">
        <v>0</v>
      </c>
      <c r="M155" s="11">
        <v>5</v>
      </c>
    </row>
    <row r="156" spans="1:13" ht="16.5" customHeight="1" x14ac:dyDescent="0.3">
      <c r="A156" s="8">
        <v>3385</v>
      </c>
      <c r="B156" s="8" t="s">
        <v>182</v>
      </c>
      <c r="C156" s="8" t="s">
        <v>18</v>
      </c>
      <c r="D156" s="10">
        <v>45502</v>
      </c>
      <c r="E156" s="8" t="s">
        <v>23</v>
      </c>
      <c r="F156" s="11">
        <v>15</v>
      </c>
      <c r="G156" s="8" t="s">
        <v>20</v>
      </c>
      <c r="H156" s="8" t="s">
        <v>19</v>
      </c>
      <c r="I156" s="11">
        <v>30</v>
      </c>
      <c r="J156" s="8" t="s">
        <v>19</v>
      </c>
      <c r="K156" s="11">
        <v>20</v>
      </c>
      <c r="L156" s="11">
        <v>20</v>
      </c>
      <c r="M156" s="11">
        <v>45</v>
      </c>
    </row>
    <row r="157" spans="1:13" ht="16.5" customHeight="1" x14ac:dyDescent="0.3">
      <c r="A157" s="8">
        <v>3386</v>
      </c>
      <c r="B157" s="8" t="s">
        <v>183</v>
      </c>
      <c r="C157" s="8" t="s">
        <v>26</v>
      </c>
      <c r="D157" s="10">
        <v>45503</v>
      </c>
      <c r="E157" s="8" t="s">
        <v>19</v>
      </c>
      <c r="F157" s="11">
        <v>10</v>
      </c>
      <c r="G157" s="8" t="s">
        <v>27</v>
      </c>
      <c r="H157" s="8" t="s">
        <v>23</v>
      </c>
      <c r="I157" s="11" t="s">
        <v>314</v>
      </c>
      <c r="J157" s="8" t="s">
        <v>19</v>
      </c>
      <c r="K157" s="11">
        <v>20</v>
      </c>
      <c r="L157" s="11">
        <v>15</v>
      </c>
      <c r="M157" s="11">
        <v>15</v>
      </c>
    </row>
    <row r="158" spans="1:13" ht="16.5" customHeight="1" x14ac:dyDescent="0.3">
      <c r="A158" s="8">
        <v>3387</v>
      </c>
      <c r="B158" s="8" t="s">
        <v>184</v>
      </c>
      <c r="C158" s="8" t="s">
        <v>22</v>
      </c>
      <c r="D158" s="10">
        <v>45504</v>
      </c>
      <c r="E158" s="8" t="s">
        <v>23</v>
      </c>
      <c r="F158" s="11">
        <v>5</v>
      </c>
      <c r="G158" s="8" t="s">
        <v>20</v>
      </c>
      <c r="H158" s="8" t="s">
        <v>23</v>
      </c>
      <c r="I158" s="11" t="s">
        <v>314</v>
      </c>
      <c r="J158" s="8" t="s">
        <v>23</v>
      </c>
      <c r="K158" s="11">
        <v>0</v>
      </c>
      <c r="L158" s="11">
        <v>1</v>
      </c>
      <c r="M158" s="11">
        <v>4</v>
      </c>
    </row>
    <row r="159" spans="1:13" ht="16.5" customHeight="1" x14ac:dyDescent="0.3">
      <c r="A159" s="8">
        <v>3388</v>
      </c>
      <c r="B159" s="8" t="s">
        <v>185</v>
      </c>
      <c r="C159" s="8" t="s">
        <v>18</v>
      </c>
      <c r="D159" s="10">
        <v>45505</v>
      </c>
      <c r="E159" s="8" t="s">
        <v>19</v>
      </c>
      <c r="F159" s="11">
        <v>15</v>
      </c>
      <c r="G159" s="8" t="s">
        <v>24</v>
      </c>
      <c r="H159" s="8" t="s">
        <v>19</v>
      </c>
      <c r="I159" s="11">
        <v>30</v>
      </c>
      <c r="J159" s="8" t="s">
        <v>19</v>
      </c>
      <c r="K159" s="11">
        <v>20</v>
      </c>
      <c r="L159" s="11">
        <v>3</v>
      </c>
      <c r="M159" s="11">
        <v>62</v>
      </c>
    </row>
    <row r="160" spans="1:13" ht="16.5" customHeight="1" x14ac:dyDescent="0.3">
      <c r="A160" s="8">
        <v>3389</v>
      </c>
      <c r="B160" s="8" t="s">
        <v>186</v>
      </c>
      <c r="C160" s="8" t="s">
        <v>26</v>
      </c>
      <c r="D160" s="10">
        <v>45506</v>
      </c>
      <c r="E160" s="8" t="s">
        <v>23</v>
      </c>
      <c r="F160" s="11">
        <v>10</v>
      </c>
      <c r="G160" s="8" t="s">
        <v>20</v>
      </c>
      <c r="H160" s="8" t="s">
        <v>23</v>
      </c>
      <c r="I160" s="11" t="s">
        <v>314</v>
      </c>
      <c r="J160" s="8" t="s">
        <v>19</v>
      </c>
      <c r="K160" s="11">
        <v>20</v>
      </c>
      <c r="L160" s="11">
        <v>10</v>
      </c>
      <c r="M160" s="11">
        <v>20</v>
      </c>
    </row>
    <row r="161" spans="1:13" ht="16.5" customHeight="1" x14ac:dyDescent="0.3">
      <c r="A161" s="8">
        <v>3390</v>
      </c>
      <c r="B161" s="8" t="s">
        <v>187</v>
      </c>
      <c r="C161" s="8" t="s">
        <v>22</v>
      </c>
      <c r="D161" s="10">
        <v>45507</v>
      </c>
      <c r="E161" s="8" t="s">
        <v>19</v>
      </c>
      <c r="F161" s="11">
        <v>5</v>
      </c>
      <c r="G161" s="8" t="s">
        <v>27</v>
      </c>
      <c r="H161" s="8" t="s">
        <v>23</v>
      </c>
      <c r="I161" s="11" t="s">
        <v>314</v>
      </c>
      <c r="J161" s="8" t="s">
        <v>23</v>
      </c>
      <c r="K161" s="11">
        <v>0</v>
      </c>
      <c r="L161" s="11">
        <v>0</v>
      </c>
      <c r="M161" s="11">
        <v>5</v>
      </c>
    </row>
    <row r="162" spans="1:13" ht="16.5" customHeight="1" x14ac:dyDescent="0.3">
      <c r="A162" s="8">
        <v>3391</v>
      </c>
      <c r="B162" s="8" t="s">
        <v>87</v>
      </c>
      <c r="C162" s="8" t="s">
        <v>18</v>
      </c>
      <c r="D162" s="10">
        <v>45508</v>
      </c>
      <c r="E162" s="8" t="s">
        <v>23</v>
      </c>
      <c r="F162" s="11">
        <v>15</v>
      </c>
      <c r="G162" s="8" t="s">
        <v>20</v>
      </c>
      <c r="H162" s="8" t="s">
        <v>19</v>
      </c>
      <c r="I162" s="11">
        <v>30</v>
      </c>
      <c r="J162" s="8" t="s">
        <v>19</v>
      </c>
      <c r="K162" s="11">
        <v>20</v>
      </c>
      <c r="L162" s="11">
        <v>15</v>
      </c>
      <c r="M162" s="11">
        <v>50</v>
      </c>
    </row>
    <row r="163" spans="1:13" ht="16.5" customHeight="1" x14ac:dyDescent="0.3">
      <c r="A163" s="8">
        <v>3392</v>
      </c>
      <c r="B163" s="8" t="s">
        <v>188</v>
      </c>
      <c r="C163" s="8" t="s">
        <v>26</v>
      </c>
      <c r="D163" s="10">
        <v>45509</v>
      </c>
      <c r="E163" s="8" t="s">
        <v>19</v>
      </c>
      <c r="F163" s="11">
        <v>10</v>
      </c>
      <c r="G163" s="8" t="s">
        <v>24</v>
      </c>
      <c r="H163" s="8" t="s">
        <v>23</v>
      </c>
      <c r="I163" s="11" t="s">
        <v>314</v>
      </c>
      <c r="J163" s="8" t="s">
        <v>19</v>
      </c>
      <c r="K163" s="11">
        <v>20</v>
      </c>
      <c r="L163" s="11">
        <v>15</v>
      </c>
      <c r="M163" s="11">
        <v>15</v>
      </c>
    </row>
    <row r="164" spans="1:13" ht="16.5" customHeight="1" x14ac:dyDescent="0.3">
      <c r="A164" s="8">
        <v>3393</v>
      </c>
      <c r="B164" s="8" t="s">
        <v>189</v>
      </c>
      <c r="C164" s="8" t="s">
        <v>22</v>
      </c>
      <c r="D164" s="10">
        <v>45510</v>
      </c>
      <c r="E164" s="8" t="s">
        <v>23</v>
      </c>
      <c r="F164" s="11">
        <v>5</v>
      </c>
      <c r="G164" s="8" t="s">
        <v>20</v>
      </c>
      <c r="H164" s="8" t="s">
        <v>23</v>
      </c>
      <c r="I164" s="11" t="s">
        <v>314</v>
      </c>
      <c r="J164" s="8" t="s">
        <v>23</v>
      </c>
      <c r="K164" s="11">
        <v>0</v>
      </c>
      <c r="L164" s="11">
        <v>1</v>
      </c>
      <c r="M164" s="11">
        <v>4</v>
      </c>
    </row>
    <row r="165" spans="1:13" ht="16.5" customHeight="1" x14ac:dyDescent="0.3">
      <c r="A165" s="8">
        <v>3394</v>
      </c>
      <c r="B165" s="8" t="s">
        <v>190</v>
      </c>
      <c r="C165" s="8" t="s">
        <v>18</v>
      </c>
      <c r="D165" s="10">
        <v>45511</v>
      </c>
      <c r="E165" s="8" t="s">
        <v>19</v>
      </c>
      <c r="F165" s="11">
        <v>15</v>
      </c>
      <c r="G165" s="8" t="s">
        <v>27</v>
      </c>
      <c r="H165" s="8" t="s">
        <v>19</v>
      </c>
      <c r="I165" s="11">
        <v>30</v>
      </c>
      <c r="J165" s="8" t="s">
        <v>19</v>
      </c>
      <c r="K165" s="11">
        <v>20</v>
      </c>
      <c r="L165" s="11">
        <v>7</v>
      </c>
      <c r="M165" s="11">
        <v>58</v>
      </c>
    </row>
    <row r="166" spans="1:13" ht="16.5" customHeight="1" x14ac:dyDescent="0.3">
      <c r="A166" s="8">
        <v>3395</v>
      </c>
      <c r="B166" s="8" t="s">
        <v>191</v>
      </c>
      <c r="C166" s="8" t="s">
        <v>26</v>
      </c>
      <c r="D166" s="10">
        <v>45512</v>
      </c>
      <c r="E166" s="8" t="s">
        <v>23</v>
      </c>
      <c r="F166" s="11">
        <v>10</v>
      </c>
      <c r="G166" s="8" t="s">
        <v>20</v>
      </c>
      <c r="H166" s="8" t="s">
        <v>23</v>
      </c>
      <c r="I166" s="11" t="s">
        <v>314</v>
      </c>
      <c r="J166" s="8" t="s">
        <v>19</v>
      </c>
      <c r="K166" s="11">
        <v>20</v>
      </c>
      <c r="L166" s="11">
        <v>10</v>
      </c>
      <c r="M166" s="11">
        <v>20</v>
      </c>
    </row>
    <row r="167" spans="1:13" ht="16.5" customHeight="1" x14ac:dyDescent="0.3">
      <c r="A167" s="8">
        <v>3396</v>
      </c>
      <c r="B167" s="8" t="s">
        <v>192</v>
      </c>
      <c r="C167" s="8" t="s">
        <v>22</v>
      </c>
      <c r="D167" s="10">
        <v>45513</v>
      </c>
      <c r="E167" s="8" t="s">
        <v>19</v>
      </c>
      <c r="F167" s="11">
        <v>5</v>
      </c>
      <c r="G167" s="8" t="s">
        <v>24</v>
      </c>
      <c r="H167" s="8" t="s">
        <v>23</v>
      </c>
      <c r="I167" s="11" t="s">
        <v>314</v>
      </c>
      <c r="J167" s="8" t="s">
        <v>23</v>
      </c>
      <c r="K167" s="11">
        <v>0</v>
      </c>
      <c r="L167" s="11">
        <v>0</v>
      </c>
      <c r="M167" s="11">
        <v>5</v>
      </c>
    </row>
    <row r="168" spans="1:13" ht="16.5" customHeight="1" x14ac:dyDescent="0.3">
      <c r="A168" s="8">
        <v>3397</v>
      </c>
      <c r="B168" s="8" t="s">
        <v>119</v>
      </c>
      <c r="C168" s="8" t="s">
        <v>18</v>
      </c>
      <c r="D168" s="10">
        <v>45514</v>
      </c>
      <c r="E168" s="8" t="s">
        <v>23</v>
      </c>
      <c r="F168" s="11">
        <v>15</v>
      </c>
      <c r="G168" s="8" t="s">
        <v>20</v>
      </c>
      <c r="H168" s="8" t="s">
        <v>19</v>
      </c>
      <c r="I168" s="11">
        <v>30</v>
      </c>
      <c r="J168" s="8" t="s">
        <v>19</v>
      </c>
      <c r="K168" s="11">
        <v>20</v>
      </c>
      <c r="L168" s="11">
        <v>20</v>
      </c>
      <c r="M168" s="11">
        <v>45</v>
      </c>
    </row>
    <row r="169" spans="1:13" ht="16.5" customHeight="1" x14ac:dyDescent="0.3">
      <c r="A169" s="8">
        <v>3398</v>
      </c>
      <c r="B169" s="8" t="s">
        <v>193</v>
      </c>
      <c r="C169" s="8" t="s">
        <v>26</v>
      </c>
      <c r="D169" s="10">
        <v>45515</v>
      </c>
      <c r="E169" s="8" t="s">
        <v>19</v>
      </c>
      <c r="F169" s="11">
        <v>10</v>
      </c>
      <c r="G169" s="8" t="s">
        <v>27</v>
      </c>
      <c r="H169" s="8" t="s">
        <v>23</v>
      </c>
      <c r="I169" s="11" t="s">
        <v>314</v>
      </c>
      <c r="J169" s="8" t="s">
        <v>19</v>
      </c>
      <c r="K169" s="11">
        <v>20</v>
      </c>
      <c r="L169" s="11">
        <v>15</v>
      </c>
      <c r="M169" s="11">
        <v>15</v>
      </c>
    </row>
    <row r="170" spans="1:13" ht="16.5" customHeight="1" x14ac:dyDescent="0.3">
      <c r="A170" s="8">
        <v>3399</v>
      </c>
      <c r="B170" s="8" t="s">
        <v>194</v>
      </c>
      <c r="C170" s="8" t="s">
        <v>22</v>
      </c>
      <c r="D170" s="10">
        <v>45516</v>
      </c>
      <c r="E170" s="8" t="s">
        <v>23</v>
      </c>
      <c r="F170" s="11">
        <v>5</v>
      </c>
      <c r="G170" s="8" t="s">
        <v>20</v>
      </c>
      <c r="H170" s="8" t="s">
        <v>23</v>
      </c>
      <c r="I170" s="11" t="s">
        <v>314</v>
      </c>
      <c r="J170" s="8" t="s">
        <v>23</v>
      </c>
      <c r="K170" s="11">
        <v>0</v>
      </c>
      <c r="L170" s="11">
        <v>1</v>
      </c>
      <c r="M170" s="11">
        <v>4</v>
      </c>
    </row>
    <row r="171" spans="1:13" ht="16.5" customHeight="1" x14ac:dyDescent="0.3">
      <c r="A171" s="8">
        <v>3400</v>
      </c>
      <c r="B171" s="8" t="s">
        <v>195</v>
      </c>
      <c r="C171" s="8" t="s">
        <v>18</v>
      </c>
      <c r="D171" s="10">
        <v>45517</v>
      </c>
      <c r="E171" s="8" t="s">
        <v>19</v>
      </c>
      <c r="F171" s="11">
        <v>15</v>
      </c>
      <c r="G171" s="8" t="s">
        <v>24</v>
      </c>
      <c r="H171" s="8" t="s">
        <v>19</v>
      </c>
      <c r="I171" s="11">
        <v>30</v>
      </c>
      <c r="J171" s="8" t="s">
        <v>19</v>
      </c>
      <c r="K171" s="11">
        <v>20</v>
      </c>
      <c r="L171" s="11">
        <v>5</v>
      </c>
      <c r="M171" s="11">
        <v>60</v>
      </c>
    </row>
    <row r="172" spans="1:13" ht="16.5" customHeight="1" x14ac:dyDescent="0.3">
      <c r="A172" s="8">
        <v>3401</v>
      </c>
      <c r="B172" s="8" t="s">
        <v>196</v>
      </c>
      <c r="C172" s="8" t="s">
        <v>26</v>
      </c>
      <c r="D172" s="10">
        <v>45518</v>
      </c>
      <c r="E172" s="8" t="s">
        <v>23</v>
      </c>
      <c r="F172" s="11">
        <v>10</v>
      </c>
      <c r="G172" s="8" t="s">
        <v>20</v>
      </c>
      <c r="H172" s="8" t="s">
        <v>23</v>
      </c>
      <c r="I172" s="11" t="s">
        <v>314</v>
      </c>
      <c r="J172" s="8" t="s">
        <v>19</v>
      </c>
      <c r="K172" s="11">
        <v>20</v>
      </c>
      <c r="L172" s="11">
        <v>10</v>
      </c>
      <c r="M172" s="11">
        <v>20</v>
      </c>
    </row>
    <row r="173" spans="1:13" ht="16.5" customHeight="1" x14ac:dyDescent="0.3">
      <c r="A173" s="8">
        <v>3402</v>
      </c>
      <c r="B173" s="8" t="s">
        <v>197</v>
      </c>
      <c r="C173" s="8" t="s">
        <v>22</v>
      </c>
      <c r="D173" s="10">
        <v>45519</v>
      </c>
      <c r="E173" s="8" t="s">
        <v>19</v>
      </c>
      <c r="F173" s="11">
        <v>5</v>
      </c>
      <c r="G173" s="8" t="s">
        <v>27</v>
      </c>
      <c r="H173" s="8" t="s">
        <v>23</v>
      </c>
      <c r="I173" s="11" t="s">
        <v>314</v>
      </c>
      <c r="J173" s="8" t="s">
        <v>23</v>
      </c>
      <c r="K173" s="11">
        <v>0</v>
      </c>
      <c r="L173" s="11">
        <v>0</v>
      </c>
      <c r="M173" s="11">
        <v>5</v>
      </c>
    </row>
    <row r="174" spans="1:13" ht="16.5" customHeight="1" x14ac:dyDescent="0.3">
      <c r="A174" s="8">
        <v>3403</v>
      </c>
      <c r="B174" s="8" t="s">
        <v>198</v>
      </c>
      <c r="C174" s="8" t="s">
        <v>18</v>
      </c>
      <c r="D174" s="10">
        <v>45520</v>
      </c>
      <c r="E174" s="8" t="s">
        <v>23</v>
      </c>
      <c r="F174" s="11">
        <v>15</v>
      </c>
      <c r="G174" s="8" t="s">
        <v>20</v>
      </c>
      <c r="H174" s="8" t="s">
        <v>19</v>
      </c>
      <c r="I174" s="11">
        <v>30</v>
      </c>
      <c r="J174" s="8" t="s">
        <v>19</v>
      </c>
      <c r="K174" s="11">
        <v>20</v>
      </c>
      <c r="L174" s="11">
        <v>3</v>
      </c>
      <c r="M174" s="11">
        <v>62</v>
      </c>
    </row>
    <row r="175" spans="1:13" ht="16.5" customHeight="1" x14ac:dyDescent="0.3">
      <c r="A175" s="8">
        <v>3404</v>
      </c>
      <c r="B175" s="8" t="s">
        <v>199</v>
      </c>
      <c r="C175" s="8" t="s">
        <v>26</v>
      </c>
      <c r="D175" s="10">
        <v>45521</v>
      </c>
      <c r="E175" s="8" t="s">
        <v>19</v>
      </c>
      <c r="F175" s="11">
        <v>10</v>
      </c>
      <c r="G175" s="8" t="s">
        <v>24</v>
      </c>
      <c r="H175" s="8" t="s">
        <v>23</v>
      </c>
      <c r="I175" s="11" t="s">
        <v>314</v>
      </c>
      <c r="J175" s="8" t="s">
        <v>19</v>
      </c>
      <c r="K175" s="11">
        <v>20</v>
      </c>
      <c r="L175" s="11">
        <v>15</v>
      </c>
      <c r="M175" s="11">
        <v>15</v>
      </c>
    </row>
    <row r="176" spans="1:13" ht="16.5" customHeight="1" x14ac:dyDescent="0.3">
      <c r="A176" s="8">
        <v>3405</v>
      </c>
      <c r="B176" s="8" t="s">
        <v>200</v>
      </c>
      <c r="C176" s="8" t="s">
        <v>22</v>
      </c>
      <c r="D176" s="10">
        <v>45522</v>
      </c>
      <c r="E176" s="8" t="s">
        <v>23</v>
      </c>
      <c r="F176" s="11">
        <v>5</v>
      </c>
      <c r="G176" s="8" t="s">
        <v>20</v>
      </c>
      <c r="H176" s="8" t="s">
        <v>23</v>
      </c>
      <c r="I176" s="11" t="s">
        <v>314</v>
      </c>
      <c r="J176" s="8" t="s">
        <v>23</v>
      </c>
      <c r="K176" s="11">
        <v>0</v>
      </c>
      <c r="L176" s="11">
        <v>1</v>
      </c>
      <c r="M176" s="11">
        <v>4</v>
      </c>
    </row>
    <row r="177" spans="1:13" ht="16.5" customHeight="1" x14ac:dyDescent="0.3">
      <c r="A177" s="8">
        <v>3406</v>
      </c>
      <c r="B177" s="8" t="s">
        <v>201</v>
      </c>
      <c r="C177" s="8" t="s">
        <v>22</v>
      </c>
      <c r="D177" s="10">
        <v>45523</v>
      </c>
      <c r="E177" s="8" t="s">
        <v>19</v>
      </c>
      <c r="F177" s="11">
        <v>5</v>
      </c>
      <c r="G177" s="8" t="s">
        <v>20</v>
      </c>
      <c r="H177" s="8" t="s">
        <v>23</v>
      </c>
      <c r="I177" s="11" t="s">
        <v>314</v>
      </c>
      <c r="J177" s="8" t="s">
        <v>23</v>
      </c>
      <c r="K177" s="11">
        <v>0</v>
      </c>
      <c r="L177" s="11">
        <v>0</v>
      </c>
      <c r="M177" s="11">
        <v>5</v>
      </c>
    </row>
    <row r="178" spans="1:13" ht="16.5" customHeight="1" x14ac:dyDescent="0.3">
      <c r="A178" s="8">
        <v>3407</v>
      </c>
      <c r="B178" s="8" t="s">
        <v>202</v>
      </c>
      <c r="C178" s="8" t="s">
        <v>18</v>
      </c>
      <c r="D178" s="10">
        <v>45524</v>
      </c>
      <c r="E178" s="8" t="s">
        <v>23</v>
      </c>
      <c r="F178" s="11">
        <v>15</v>
      </c>
      <c r="G178" s="8" t="s">
        <v>27</v>
      </c>
      <c r="H178" s="8" t="s">
        <v>19</v>
      </c>
      <c r="I178" s="11">
        <v>30</v>
      </c>
      <c r="J178" s="8" t="s">
        <v>19</v>
      </c>
      <c r="K178" s="11">
        <v>20</v>
      </c>
      <c r="L178" s="11">
        <v>7</v>
      </c>
      <c r="M178" s="11">
        <v>58</v>
      </c>
    </row>
    <row r="179" spans="1:13" ht="16.5" customHeight="1" x14ac:dyDescent="0.3">
      <c r="A179" s="8">
        <v>3408</v>
      </c>
      <c r="B179" s="8" t="s">
        <v>203</v>
      </c>
      <c r="C179" s="8" t="s">
        <v>26</v>
      </c>
      <c r="D179" s="10">
        <v>45525</v>
      </c>
      <c r="E179" s="8" t="s">
        <v>19</v>
      </c>
      <c r="F179" s="11">
        <v>10</v>
      </c>
      <c r="G179" s="8" t="s">
        <v>24</v>
      </c>
      <c r="H179" s="8" t="s">
        <v>23</v>
      </c>
      <c r="I179" s="11" t="s">
        <v>314</v>
      </c>
      <c r="J179" s="8" t="s">
        <v>19</v>
      </c>
      <c r="K179" s="11">
        <v>20</v>
      </c>
      <c r="L179" s="11">
        <v>10</v>
      </c>
      <c r="M179" s="11">
        <v>20</v>
      </c>
    </row>
    <row r="180" spans="1:13" ht="16.5" customHeight="1" x14ac:dyDescent="0.3">
      <c r="A180" s="8">
        <v>3409</v>
      </c>
      <c r="B180" s="8" t="s">
        <v>204</v>
      </c>
      <c r="C180" s="8" t="s">
        <v>22</v>
      </c>
      <c r="D180" s="10">
        <v>45526</v>
      </c>
      <c r="E180" s="8" t="s">
        <v>23</v>
      </c>
      <c r="F180" s="11">
        <v>5</v>
      </c>
      <c r="G180" s="8" t="s">
        <v>27</v>
      </c>
      <c r="H180" s="8" t="s">
        <v>23</v>
      </c>
      <c r="I180" s="11" t="s">
        <v>314</v>
      </c>
      <c r="J180" s="8" t="s">
        <v>23</v>
      </c>
      <c r="K180" s="11">
        <v>0</v>
      </c>
      <c r="L180" s="11">
        <v>1</v>
      </c>
      <c r="M180" s="11">
        <v>4</v>
      </c>
    </row>
    <row r="181" spans="1:13" ht="16.5" customHeight="1" x14ac:dyDescent="0.3">
      <c r="A181" s="8">
        <v>3410</v>
      </c>
      <c r="B181" s="8" t="s">
        <v>205</v>
      </c>
      <c r="C181" s="8" t="s">
        <v>18</v>
      </c>
      <c r="D181" s="10">
        <v>45527</v>
      </c>
      <c r="E181" s="8" t="s">
        <v>19</v>
      </c>
      <c r="F181" s="11">
        <v>15</v>
      </c>
      <c r="G181" s="8" t="s">
        <v>20</v>
      </c>
      <c r="H181" s="8" t="s">
        <v>19</v>
      </c>
      <c r="I181" s="11">
        <v>30</v>
      </c>
      <c r="J181" s="8" t="s">
        <v>19</v>
      </c>
      <c r="K181" s="11">
        <v>20</v>
      </c>
      <c r="L181" s="11">
        <v>15</v>
      </c>
      <c r="M181" s="11">
        <v>50</v>
      </c>
    </row>
    <row r="182" spans="1:13" ht="16.5" customHeight="1" x14ac:dyDescent="0.3">
      <c r="A182" s="8">
        <v>3411</v>
      </c>
      <c r="B182" s="8" t="s">
        <v>206</v>
      </c>
      <c r="C182" s="8" t="s">
        <v>26</v>
      </c>
      <c r="D182" s="10">
        <v>45528</v>
      </c>
      <c r="E182" s="8" t="s">
        <v>23</v>
      </c>
      <c r="F182" s="11">
        <v>10</v>
      </c>
      <c r="G182" s="8" t="s">
        <v>20</v>
      </c>
      <c r="H182" s="8" t="s">
        <v>23</v>
      </c>
      <c r="I182" s="11" t="s">
        <v>314</v>
      </c>
      <c r="J182" s="8" t="s">
        <v>19</v>
      </c>
      <c r="K182" s="11">
        <v>20</v>
      </c>
      <c r="L182" s="11">
        <v>5</v>
      </c>
      <c r="M182" s="11">
        <v>25</v>
      </c>
    </row>
    <row r="183" spans="1:13" ht="16.5" customHeight="1" x14ac:dyDescent="0.3">
      <c r="A183" s="8">
        <v>3412</v>
      </c>
      <c r="B183" s="8" t="s">
        <v>207</v>
      </c>
      <c r="C183" s="8" t="s">
        <v>22</v>
      </c>
      <c r="D183" s="10">
        <v>45529</v>
      </c>
      <c r="E183" s="8" t="s">
        <v>19</v>
      </c>
      <c r="F183" s="11">
        <v>5</v>
      </c>
      <c r="G183" s="8" t="s">
        <v>24</v>
      </c>
      <c r="H183" s="8" t="s">
        <v>23</v>
      </c>
      <c r="I183" s="11" t="s">
        <v>314</v>
      </c>
      <c r="J183" s="8" t="s">
        <v>23</v>
      </c>
      <c r="K183" s="11">
        <v>0</v>
      </c>
      <c r="L183" s="11">
        <v>0</v>
      </c>
      <c r="M183" s="11">
        <v>5</v>
      </c>
    </row>
    <row r="184" spans="1:13" ht="16.5" customHeight="1" x14ac:dyDescent="0.3">
      <c r="A184" s="8">
        <v>3413</v>
      </c>
      <c r="B184" s="8" t="s">
        <v>208</v>
      </c>
      <c r="C184" s="8" t="s">
        <v>18</v>
      </c>
      <c r="D184" s="10">
        <v>45530</v>
      </c>
      <c r="E184" s="8" t="s">
        <v>23</v>
      </c>
      <c r="F184" s="11">
        <v>15</v>
      </c>
      <c r="G184" s="8" t="s">
        <v>27</v>
      </c>
      <c r="H184" s="8" t="s">
        <v>19</v>
      </c>
      <c r="I184" s="11">
        <v>30</v>
      </c>
      <c r="J184" s="8" t="s">
        <v>19</v>
      </c>
      <c r="K184" s="11">
        <v>20</v>
      </c>
      <c r="L184" s="11">
        <v>20</v>
      </c>
      <c r="M184" s="11">
        <v>45</v>
      </c>
    </row>
    <row r="185" spans="1:13" ht="16.5" customHeight="1" x14ac:dyDescent="0.3">
      <c r="A185" s="8">
        <v>3414</v>
      </c>
      <c r="B185" s="8" t="s">
        <v>209</v>
      </c>
      <c r="C185" s="8" t="s">
        <v>26</v>
      </c>
      <c r="D185" s="10">
        <v>45531</v>
      </c>
      <c r="E185" s="8" t="s">
        <v>19</v>
      </c>
      <c r="F185" s="11">
        <v>10</v>
      </c>
      <c r="G185" s="8" t="s">
        <v>27</v>
      </c>
      <c r="H185" s="8" t="s">
        <v>23</v>
      </c>
      <c r="I185" s="11" t="s">
        <v>314</v>
      </c>
      <c r="J185" s="8" t="s">
        <v>19</v>
      </c>
      <c r="K185" s="11">
        <v>20</v>
      </c>
      <c r="L185" s="11">
        <v>12</v>
      </c>
      <c r="M185" s="11">
        <v>18</v>
      </c>
    </row>
    <row r="186" spans="1:13" ht="16.5" customHeight="1" x14ac:dyDescent="0.3">
      <c r="A186" s="8">
        <v>3415</v>
      </c>
      <c r="B186" s="8" t="s">
        <v>210</v>
      </c>
      <c r="C186" s="8" t="s">
        <v>22</v>
      </c>
      <c r="D186" s="10">
        <v>45532</v>
      </c>
      <c r="E186" s="8" t="s">
        <v>23</v>
      </c>
      <c r="F186" s="11">
        <v>5</v>
      </c>
      <c r="G186" s="8" t="s">
        <v>20</v>
      </c>
      <c r="H186" s="8" t="s">
        <v>23</v>
      </c>
      <c r="I186" s="11" t="s">
        <v>314</v>
      </c>
      <c r="J186" s="8" t="s">
        <v>23</v>
      </c>
      <c r="K186" s="11">
        <v>0</v>
      </c>
      <c r="L186" s="11">
        <v>2</v>
      </c>
      <c r="M186" s="11">
        <v>3</v>
      </c>
    </row>
    <row r="187" spans="1:13" ht="16.5" customHeight="1" x14ac:dyDescent="0.3">
      <c r="A187" s="8">
        <v>3416</v>
      </c>
      <c r="B187" s="8" t="s">
        <v>211</v>
      </c>
      <c r="C187" s="8" t="s">
        <v>18</v>
      </c>
      <c r="D187" s="10">
        <v>45533</v>
      </c>
      <c r="E187" s="8" t="s">
        <v>19</v>
      </c>
      <c r="F187" s="11">
        <v>15</v>
      </c>
      <c r="G187" s="8" t="s">
        <v>24</v>
      </c>
      <c r="H187" s="8" t="s">
        <v>19</v>
      </c>
      <c r="I187" s="11">
        <v>30</v>
      </c>
      <c r="J187" s="8" t="s">
        <v>19</v>
      </c>
      <c r="K187" s="11">
        <v>20</v>
      </c>
      <c r="L187" s="11">
        <v>5</v>
      </c>
      <c r="M187" s="11">
        <v>60</v>
      </c>
    </row>
    <row r="188" spans="1:13" ht="16.5" customHeight="1" x14ac:dyDescent="0.3">
      <c r="A188" s="8">
        <v>3417</v>
      </c>
      <c r="B188" s="8" t="s">
        <v>212</v>
      </c>
      <c r="C188" s="8" t="s">
        <v>26</v>
      </c>
      <c r="D188" s="10">
        <v>45534</v>
      </c>
      <c r="E188" s="8" t="s">
        <v>23</v>
      </c>
      <c r="F188" s="11">
        <v>10</v>
      </c>
      <c r="G188" s="8" t="s">
        <v>20</v>
      </c>
      <c r="H188" s="8" t="s">
        <v>23</v>
      </c>
      <c r="I188" s="11" t="s">
        <v>314</v>
      </c>
      <c r="J188" s="8" t="s">
        <v>19</v>
      </c>
      <c r="K188" s="11">
        <v>20</v>
      </c>
      <c r="L188" s="11">
        <v>10</v>
      </c>
      <c r="M188" s="11">
        <v>20</v>
      </c>
    </row>
    <row r="189" spans="1:13" ht="16.5" customHeight="1" x14ac:dyDescent="0.3">
      <c r="A189" s="8">
        <v>3418</v>
      </c>
      <c r="B189" s="8" t="s">
        <v>213</v>
      </c>
      <c r="C189" s="8" t="s">
        <v>22</v>
      </c>
      <c r="D189" s="10">
        <v>45535</v>
      </c>
      <c r="E189" s="8" t="s">
        <v>19</v>
      </c>
      <c r="F189" s="11">
        <v>5</v>
      </c>
      <c r="G189" s="8" t="s">
        <v>27</v>
      </c>
      <c r="H189" s="8" t="s">
        <v>23</v>
      </c>
      <c r="I189" s="11" t="s">
        <v>314</v>
      </c>
      <c r="J189" s="8" t="s">
        <v>23</v>
      </c>
      <c r="K189" s="11">
        <v>0</v>
      </c>
      <c r="L189" s="11">
        <v>0</v>
      </c>
      <c r="M189" s="11">
        <v>5</v>
      </c>
    </row>
    <row r="190" spans="1:13" ht="16.5" customHeight="1" x14ac:dyDescent="0.3">
      <c r="A190" s="8">
        <v>3419</v>
      </c>
      <c r="B190" s="8" t="s">
        <v>214</v>
      </c>
      <c r="C190" s="8" t="s">
        <v>18</v>
      </c>
      <c r="D190" s="10">
        <v>45536</v>
      </c>
      <c r="E190" s="8" t="s">
        <v>23</v>
      </c>
      <c r="F190" s="11">
        <v>15</v>
      </c>
      <c r="G190" s="8" t="s">
        <v>20</v>
      </c>
      <c r="H190" s="8" t="s">
        <v>19</v>
      </c>
      <c r="I190" s="11">
        <v>30</v>
      </c>
      <c r="J190" s="8" t="s">
        <v>19</v>
      </c>
      <c r="K190" s="11">
        <v>20</v>
      </c>
      <c r="L190" s="11">
        <v>3</v>
      </c>
      <c r="M190" s="11">
        <v>62</v>
      </c>
    </row>
    <row r="191" spans="1:13" ht="16.5" customHeight="1" x14ac:dyDescent="0.3">
      <c r="A191" s="8">
        <v>3420</v>
      </c>
      <c r="B191" s="8" t="s">
        <v>215</v>
      </c>
      <c r="C191" s="8" t="s">
        <v>26</v>
      </c>
      <c r="D191" s="10">
        <v>45537</v>
      </c>
      <c r="E191" s="8" t="s">
        <v>19</v>
      </c>
      <c r="F191" s="11">
        <v>10</v>
      </c>
      <c r="G191" s="8" t="s">
        <v>24</v>
      </c>
      <c r="H191" s="8" t="s">
        <v>23</v>
      </c>
      <c r="I191" s="11" t="s">
        <v>314</v>
      </c>
      <c r="J191" s="8" t="s">
        <v>19</v>
      </c>
      <c r="K191" s="11">
        <v>20</v>
      </c>
      <c r="L191" s="11">
        <v>15</v>
      </c>
      <c r="M191" s="11">
        <v>15</v>
      </c>
    </row>
    <row r="192" spans="1:13" ht="16.5" customHeight="1" x14ac:dyDescent="0.3">
      <c r="A192" s="8">
        <v>3421</v>
      </c>
      <c r="B192" s="8" t="s">
        <v>44</v>
      </c>
      <c r="C192" s="8" t="s">
        <v>22</v>
      </c>
      <c r="D192" s="10">
        <v>45538</v>
      </c>
      <c r="E192" s="8" t="s">
        <v>23</v>
      </c>
      <c r="F192" s="11">
        <v>5</v>
      </c>
      <c r="G192" s="8" t="s">
        <v>20</v>
      </c>
      <c r="H192" s="8" t="s">
        <v>23</v>
      </c>
      <c r="I192" s="11" t="s">
        <v>314</v>
      </c>
      <c r="J192" s="8" t="s">
        <v>23</v>
      </c>
      <c r="K192" s="11">
        <v>0</v>
      </c>
      <c r="L192" s="11">
        <v>1</v>
      </c>
      <c r="M192" s="11">
        <v>4</v>
      </c>
    </row>
    <row r="193" spans="1:13" ht="16.5" customHeight="1" x14ac:dyDescent="0.3">
      <c r="A193" s="8">
        <v>3422</v>
      </c>
      <c r="B193" s="8" t="s">
        <v>216</v>
      </c>
      <c r="C193" s="8" t="s">
        <v>18</v>
      </c>
      <c r="D193" s="10">
        <v>45539</v>
      </c>
      <c r="E193" s="8" t="s">
        <v>19</v>
      </c>
      <c r="F193" s="11">
        <v>15</v>
      </c>
      <c r="G193" s="8" t="s">
        <v>27</v>
      </c>
      <c r="H193" s="8" t="s">
        <v>19</v>
      </c>
      <c r="I193" s="11">
        <v>30</v>
      </c>
      <c r="J193" s="8" t="s">
        <v>19</v>
      </c>
      <c r="K193" s="11">
        <v>20</v>
      </c>
      <c r="L193" s="11">
        <v>7</v>
      </c>
      <c r="M193" s="11">
        <v>58</v>
      </c>
    </row>
    <row r="194" spans="1:13" ht="16.5" customHeight="1" x14ac:dyDescent="0.3">
      <c r="A194" s="8">
        <v>3423</v>
      </c>
      <c r="B194" s="8" t="s">
        <v>217</v>
      </c>
      <c r="C194" s="8" t="s">
        <v>26</v>
      </c>
      <c r="D194" s="10">
        <v>45540</v>
      </c>
      <c r="E194" s="8" t="s">
        <v>23</v>
      </c>
      <c r="F194" s="11">
        <v>10</v>
      </c>
      <c r="G194" s="8" t="s">
        <v>20</v>
      </c>
      <c r="H194" s="8" t="s">
        <v>23</v>
      </c>
      <c r="I194" s="11" t="s">
        <v>314</v>
      </c>
      <c r="J194" s="8" t="s">
        <v>19</v>
      </c>
      <c r="K194" s="11">
        <v>20</v>
      </c>
      <c r="L194" s="11">
        <v>10</v>
      </c>
      <c r="M194" s="11">
        <v>20</v>
      </c>
    </row>
    <row r="195" spans="1:13" ht="16.5" customHeight="1" x14ac:dyDescent="0.3">
      <c r="A195" s="8">
        <v>3424</v>
      </c>
      <c r="B195" s="8" t="s">
        <v>43</v>
      </c>
      <c r="C195" s="8" t="s">
        <v>22</v>
      </c>
      <c r="D195" s="10">
        <v>45541</v>
      </c>
      <c r="E195" s="8" t="s">
        <v>19</v>
      </c>
      <c r="F195" s="11">
        <v>5</v>
      </c>
      <c r="G195" s="8" t="s">
        <v>24</v>
      </c>
      <c r="H195" s="8" t="s">
        <v>23</v>
      </c>
      <c r="I195" s="11" t="s">
        <v>314</v>
      </c>
      <c r="J195" s="8" t="s">
        <v>23</v>
      </c>
      <c r="K195" s="11">
        <v>0</v>
      </c>
      <c r="L195" s="11">
        <v>0</v>
      </c>
      <c r="M195" s="11">
        <v>5</v>
      </c>
    </row>
    <row r="196" spans="1:13" ht="16.5" customHeight="1" x14ac:dyDescent="0.3">
      <c r="A196" s="8">
        <v>3425</v>
      </c>
      <c r="B196" s="8" t="s">
        <v>218</v>
      </c>
      <c r="C196" s="8" t="s">
        <v>18</v>
      </c>
      <c r="D196" s="10">
        <v>45542</v>
      </c>
      <c r="E196" s="8" t="s">
        <v>23</v>
      </c>
      <c r="F196" s="11">
        <v>15</v>
      </c>
      <c r="G196" s="8" t="s">
        <v>20</v>
      </c>
      <c r="H196" s="8" t="s">
        <v>19</v>
      </c>
      <c r="I196" s="11">
        <v>30</v>
      </c>
      <c r="J196" s="8" t="s">
        <v>19</v>
      </c>
      <c r="K196" s="11">
        <v>20</v>
      </c>
      <c r="L196" s="11">
        <v>20</v>
      </c>
      <c r="M196" s="11">
        <v>45</v>
      </c>
    </row>
    <row r="197" spans="1:13" ht="16.5" customHeight="1" x14ac:dyDescent="0.3">
      <c r="A197" s="8">
        <v>3426</v>
      </c>
      <c r="B197" s="8" t="s">
        <v>196</v>
      </c>
      <c r="C197" s="8" t="s">
        <v>26</v>
      </c>
      <c r="D197" s="10">
        <v>45543</v>
      </c>
      <c r="E197" s="8" t="s">
        <v>19</v>
      </c>
      <c r="F197" s="11">
        <v>10</v>
      </c>
      <c r="G197" s="8" t="s">
        <v>27</v>
      </c>
      <c r="H197" s="8" t="s">
        <v>23</v>
      </c>
      <c r="I197" s="11" t="s">
        <v>314</v>
      </c>
      <c r="J197" s="8" t="s">
        <v>19</v>
      </c>
      <c r="K197" s="11">
        <v>20</v>
      </c>
      <c r="L197" s="11">
        <v>15</v>
      </c>
      <c r="M197" s="11">
        <v>15</v>
      </c>
    </row>
    <row r="198" spans="1:13" ht="16.5" customHeight="1" x14ac:dyDescent="0.3">
      <c r="A198" s="8">
        <v>3427</v>
      </c>
      <c r="B198" s="8" t="s">
        <v>219</v>
      </c>
      <c r="C198" s="8" t="s">
        <v>22</v>
      </c>
      <c r="D198" s="10">
        <v>45544</v>
      </c>
      <c r="E198" s="8" t="s">
        <v>23</v>
      </c>
      <c r="F198" s="11">
        <v>5</v>
      </c>
      <c r="G198" s="8" t="s">
        <v>20</v>
      </c>
      <c r="H198" s="8" t="s">
        <v>23</v>
      </c>
      <c r="I198" s="11" t="s">
        <v>314</v>
      </c>
      <c r="J198" s="8" t="s">
        <v>23</v>
      </c>
      <c r="K198" s="11">
        <v>0</v>
      </c>
      <c r="L198" s="11">
        <v>1</v>
      </c>
      <c r="M198" s="11">
        <v>4</v>
      </c>
    </row>
    <row r="199" spans="1:13" ht="16.5" customHeight="1" x14ac:dyDescent="0.3">
      <c r="A199" s="8">
        <v>3428</v>
      </c>
      <c r="B199" s="8" t="s">
        <v>220</v>
      </c>
      <c r="C199" s="8" t="s">
        <v>18</v>
      </c>
      <c r="D199" s="10">
        <v>45545</v>
      </c>
      <c r="E199" s="8" t="s">
        <v>19</v>
      </c>
      <c r="F199" s="11">
        <v>15</v>
      </c>
      <c r="G199" s="8" t="s">
        <v>24</v>
      </c>
      <c r="H199" s="8" t="s">
        <v>19</v>
      </c>
      <c r="I199" s="11">
        <v>30</v>
      </c>
      <c r="J199" s="8" t="s">
        <v>19</v>
      </c>
      <c r="K199" s="11">
        <v>20</v>
      </c>
      <c r="L199" s="11">
        <v>3</v>
      </c>
      <c r="M199" s="11">
        <v>62</v>
      </c>
    </row>
    <row r="200" spans="1:13" ht="16.5" customHeight="1" x14ac:dyDescent="0.3">
      <c r="A200" s="8">
        <v>3429</v>
      </c>
      <c r="B200" s="8" t="s">
        <v>221</v>
      </c>
      <c r="C200" s="8" t="s">
        <v>26</v>
      </c>
      <c r="D200" s="10">
        <v>45546</v>
      </c>
      <c r="E200" s="8" t="s">
        <v>23</v>
      </c>
      <c r="F200" s="11">
        <v>10</v>
      </c>
      <c r="G200" s="8" t="s">
        <v>20</v>
      </c>
      <c r="H200" s="8" t="s">
        <v>23</v>
      </c>
      <c r="I200" s="11" t="s">
        <v>314</v>
      </c>
      <c r="J200" s="8" t="s">
        <v>19</v>
      </c>
      <c r="K200" s="11">
        <v>20</v>
      </c>
      <c r="L200" s="11">
        <v>10</v>
      </c>
      <c r="M200" s="11">
        <v>20</v>
      </c>
    </row>
    <row r="201" spans="1:13" ht="16.5" customHeight="1" x14ac:dyDescent="0.3">
      <c r="A201" s="8">
        <v>3430</v>
      </c>
      <c r="B201" s="8" t="s">
        <v>222</v>
      </c>
      <c r="C201" s="8" t="s">
        <v>22</v>
      </c>
      <c r="D201" s="10">
        <v>45547</v>
      </c>
      <c r="E201" s="8" t="s">
        <v>19</v>
      </c>
      <c r="F201" s="11">
        <v>5</v>
      </c>
      <c r="G201" s="8" t="s">
        <v>27</v>
      </c>
      <c r="H201" s="8" t="s">
        <v>23</v>
      </c>
      <c r="I201" s="11" t="s">
        <v>314</v>
      </c>
      <c r="J201" s="8" t="s">
        <v>23</v>
      </c>
      <c r="K201" s="11">
        <v>0</v>
      </c>
      <c r="L201" s="11">
        <v>0</v>
      </c>
      <c r="M201" s="11">
        <v>5</v>
      </c>
    </row>
    <row r="202" spans="1:13" ht="16.5" customHeight="1" x14ac:dyDescent="0.3">
      <c r="A202" s="8">
        <v>3431</v>
      </c>
      <c r="B202" s="8" t="s">
        <v>223</v>
      </c>
      <c r="C202" s="8" t="s">
        <v>18</v>
      </c>
      <c r="D202" s="10">
        <v>45548</v>
      </c>
      <c r="E202" s="8" t="s">
        <v>23</v>
      </c>
      <c r="F202" s="11">
        <v>15</v>
      </c>
      <c r="G202" s="8" t="s">
        <v>20</v>
      </c>
      <c r="H202" s="8" t="s">
        <v>19</v>
      </c>
      <c r="I202" s="11">
        <v>30</v>
      </c>
      <c r="J202" s="8" t="s">
        <v>19</v>
      </c>
      <c r="K202" s="11">
        <v>20</v>
      </c>
      <c r="L202" s="11">
        <v>15</v>
      </c>
      <c r="M202" s="11">
        <v>50</v>
      </c>
    </row>
    <row r="203" spans="1:13" ht="16.5" customHeight="1" x14ac:dyDescent="0.3">
      <c r="A203" s="8">
        <v>3432</v>
      </c>
      <c r="B203" s="8" t="s">
        <v>224</v>
      </c>
      <c r="C203" s="8" t="s">
        <v>26</v>
      </c>
      <c r="D203" s="10">
        <v>45549</v>
      </c>
      <c r="E203" s="8" t="s">
        <v>19</v>
      </c>
      <c r="F203" s="11">
        <v>10</v>
      </c>
      <c r="G203" s="8" t="s">
        <v>24</v>
      </c>
      <c r="H203" s="8" t="s">
        <v>23</v>
      </c>
      <c r="I203" s="11" t="s">
        <v>314</v>
      </c>
      <c r="J203" s="8" t="s">
        <v>19</v>
      </c>
      <c r="K203" s="11">
        <v>20</v>
      </c>
      <c r="L203" s="11">
        <v>15</v>
      </c>
      <c r="M203" s="11">
        <v>15</v>
      </c>
    </row>
    <row r="204" spans="1:13" ht="16.5" customHeight="1" x14ac:dyDescent="0.3">
      <c r="A204" s="8">
        <v>3433</v>
      </c>
      <c r="B204" s="8" t="s">
        <v>225</v>
      </c>
      <c r="C204" s="8" t="s">
        <v>22</v>
      </c>
      <c r="D204" s="10">
        <v>45550</v>
      </c>
      <c r="E204" s="8" t="s">
        <v>23</v>
      </c>
      <c r="F204" s="11">
        <v>5</v>
      </c>
      <c r="G204" s="8" t="s">
        <v>20</v>
      </c>
      <c r="H204" s="8" t="s">
        <v>23</v>
      </c>
      <c r="I204" s="11" t="s">
        <v>314</v>
      </c>
      <c r="J204" s="8" t="s">
        <v>23</v>
      </c>
      <c r="K204" s="11">
        <v>0</v>
      </c>
      <c r="L204" s="11">
        <v>1</v>
      </c>
      <c r="M204" s="11">
        <v>4</v>
      </c>
    </row>
    <row r="205" spans="1:13" ht="16.5" customHeight="1" x14ac:dyDescent="0.3">
      <c r="A205" s="8">
        <v>3434</v>
      </c>
      <c r="B205" s="8" t="s">
        <v>226</v>
      </c>
      <c r="C205" s="8" t="s">
        <v>18</v>
      </c>
      <c r="D205" s="10">
        <v>45551</v>
      </c>
      <c r="E205" s="8" t="s">
        <v>19</v>
      </c>
      <c r="F205" s="11">
        <v>15</v>
      </c>
      <c r="G205" s="8" t="s">
        <v>27</v>
      </c>
      <c r="H205" s="8" t="s">
        <v>19</v>
      </c>
      <c r="I205" s="11">
        <v>30</v>
      </c>
      <c r="J205" s="8" t="s">
        <v>19</v>
      </c>
      <c r="K205" s="11">
        <v>20</v>
      </c>
      <c r="L205" s="11">
        <v>7</v>
      </c>
      <c r="M205" s="11">
        <v>58</v>
      </c>
    </row>
    <row r="206" spans="1:13" ht="16.5" customHeight="1" x14ac:dyDescent="0.3">
      <c r="A206" s="8">
        <v>3435</v>
      </c>
      <c r="B206" s="8" t="s">
        <v>227</v>
      </c>
      <c r="C206" s="8" t="s">
        <v>26</v>
      </c>
      <c r="D206" s="10">
        <v>45552</v>
      </c>
      <c r="E206" s="8" t="s">
        <v>23</v>
      </c>
      <c r="F206" s="11">
        <v>10</v>
      </c>
      <c r="G206" s="8" t="s">
        <v>20</v>
      </c>
      <c r="H206" s="8" t="s">
        <v>23</v>
      </c>
      <c r="I206" s="11" t="s">
        <v>314</v>
      </c>
      <c r="J206" s="8" t="s">
        <v>19</v>
      </c>
      <c r="K206" s="11">
        <v>20</v>
      </c>
      <c r="L206" s="11">
        <v>10</v>
      </c>
      <c r="M206" s="11">
        <v>20</v>
      </c>
    </row>
    <row r="207" spans="1:13" ht="16.5" customHeight="1" x14ac:dyDescent="0.3">
      <c r="A207" s="8">
        <v>3436</v>
      </c>
      <c r="B207" s="8" t="s">
        <v>228</v>
      </c>
      <c r="C207" s="8" t="s">
        <v>22</v>
      </c>
      <c r="D207" s="10">
        <v>45553</v>
      </c>
      <c r="E207" s="8" t="s">
        <v>19</v>
      </c>
      <c r="F207" s="11">
        <v>5</v>
      </c>
      <c r="G207" s="8" t="s">
        <v>20</v>
      </c>
      <c r="H207" s="8" t="s">
        <v>23</v>
      </c>
      <c r="I207" s="11" t="s">
        <v>314</v>
      </c>
      <c r="J207" s="8" t="s">
        <v>23</v>
      </c>
      <c r="K207" s="11">
        <v>0</v>
      </c>
      <c r="L207" s="11">
        <v>0</v>
      </c>
      <c r="M207" s="11">
        <v>5</v>
      </c>
    </row>
    <row r="208" spans="1:13" ht="16.5" customHeight="1" x14ac:dyDescent="0.3">
      <c r="A208" s="8">
        <v>3437</v>
      </c>
      <c r="B208" s="8" t="s">
        <v>229</v>
      </c>
      <c r="C208" s="8" t="s">
        <v>18</v>
      </c>
      <c r="D208" s="10">
        <v>45554</v>
      </c>
      <c r="E208" s="8" t="s">
        <v>23</v>
      </c>
      <c r="F208" s="11">
        <v>15</v>
      </c>
      <c r="G208" s="8" t="s">
        <v>27</v>
      </c>
      <c r="H208" s="8" t="s">
        <v>19</v>
      </c>
      <c r="I208" s="11">
        <v>30</v>
      </c>
      <c r="J208" s="8" t="s">
        <v>19</v>
      </c>
      <c r="K208" s="11">
        <v>20</v>
      </c>
      <c r="L208" s="11">
        <v>7</v>
      </c>
      <c r="M208" s="11">
        <v>58</v>
      </c>
    </row>
    <row r="209" spans="1:13" ht="16.5" customHeight="1" x14ac:dyDescent="0.3">
      <c r="A209" s="8">
        <v>3438</v>
      </c>
      <c r="B209" s="8" t="s">
        <v>230</v>
      </c>
      <c r="C209" s="8" t="s">
        <v>26</v>
      </c>
      <c r="D209" s="10">
        <v>45555</v>
      </c>
      <c r="E209" s="8" t="s">
        <v>19</v>
      </c>
      <c r="F209" s="11">
        <v>10</v>
      </c>
      <c r="G209" s="8" t="s">
        <v>24</v>
      </c>
      <c r="H209" s="8" t="s">
        <v>23</v>
      </c>
      <c r="I209" s="11" t="s">
        <v>314</v>
      </c>
      <c r="J209" s="8" t="s">
        <v>19</v>
      </c>
      <c r="K209" s="11">
        <v>20</v>
      </c>
      <c r="L209" s="11">
        <v>10</v>
      </c>
      <c r="M209" s="11">
        <v>20</v>
      </c>
    </row>
    <row r="210" spans="1:13" ht="16.5" customHeight="1" x14ac:dyDescent="0.3">
      <c r="A210" s="8">
        <v>3439</v>
      </c>
      <c r="B210" s="8" t="s">
        <v>231</v>
      </c>
      <c r="C210" s="8" t="s">
        <v>22</v>
      </c>
      <c r="D210" s="10">
        <v>45556</v>
      </c>
      <c r="E210" s="8" t="s">
        <v>23</v>
      </c>
      <c r="F210" s="11">
        <v>5</v>
      </c>
      <c r="G210" s="8" t="s">
        <v>27</v>
      </c>
      <c r="H210" s="8" t="s">
        <v>23</v>
      </c>
      <c r="I210" s="11" t="s">
        <v>314</v>
      </c>
      <c r="J210" s="8" t="s">
        <v>23</v>
      </c>
      <c r="K210" s="11">
        <v>0</v>
      </c>
      <c r="L210" s="11">
        <v>1</v>
      </c>
      <c r="M210" s="11">
        <v>4</v>
      </c>
    </row>
    <row r="211" spans="1:13" ht="16.5" customHeight="1" x14ac:dyDescent="0.3">
      <c r="A211" s="8">
        <v>3440</v>
      </c>
      <c r="B211" s="8" t="s">
        <v>232</v>
      </c>
      <c r="C211" s="8" t="s">
        <v>18</v>
      </c>
      <c r="D211" s="10">
        <v>45557</v>
      </c>
      <c r="E211" s="8" t="s">
        <v>19</v>
      </c>
      <c r="F211" s="11">
        <v>15</v>
      </c>
      <c r="G211" s="8" t="s">
        <v>20</v>
      </c>
      <c r="H211" s="8" t="s">
        <v>19</v>
      </c>
      <c r="I211" s="11">
        <v>30</v>
      </c>
      <c r="J211" s="8" t="s">
        <v>19</v>
      </c>
      <c r="K211" s="11">
        <v>20</v>
      </c>
      <c r="L211" s="11">
        <v>15</v>
      </c>
      <c r="M211" s="11">
        <v>50</v>
      </c>
    </row>
    <row r="212" spans="1:13" ht="16.5" customHeight="1" x14ac:dyDescent="0.3">
      <c r="A212" s="8">
        <v>3441</v>
      </c>
      <c r="B212" s="8" t="s">
        <v>233</v>
      </c>
      <c r="C212" s="8" t="s">
        <v>26</v>
      </c>
      <c r="D212" s="10">
        <v>45558</v>
      </c>
      <c r="E212" s="8" t="s">
        <v>23</v>
      </c>
      <c r="F212" s="11">
        <v>10</v>
      </c>
      <c r="G212" s="8" t="s">
        <v>20</v>
      </c>
      <c r="H212" s="8" t="s">
        <v>23</v>
      </c>
      <c r="I212" s="11" t="s">
        <v>314</v>
      </c>
      <c r="J212" s="8" t="s">
        <v>19</v>
      </c>
      <c r="K212" s="11">
        <v>20</v>
      </c>
      <c r="L212" s="11">
        <v>5</v>
      </c>
      <c r="M212" s="11">
        <v>25</v>
      </c>
    </row>
    <row r="213" spans="1:13" ht="16.5" customHeight="1" x14ac:dyDescent="0.3">
      <c r="A213" s="8">
        <v>3442</v>
      </c>
      <c r="B213" s="8" t="s">
        <v>234</v>
      </c>
      <c r="C213" s="8" t="s">
        <v>22</v>
      </c>
      <c r="D213" s="10">
        <v>45559</v>
      </c>
      <c r="E213" s="8" t="s">
        <v>19</v>
      </c>
      <c r="F213" s="11">
        <v>5</v>
      </c>
      <c r="G213" s="8" t="s">
        <v>24</v>
      </c>
      <c r="H213" s="8" t="s">
        <v>23</v>
      </c>
      <c r="I213" s="11" t="s">
        <v>314</v>
      </c>
      <c r="J213" s="8" t="s">
        <v>23</v>
      </c>
      <c r="K213" s="11">
        <v>0</v>
      </c>
      <c r="L213" s="11">
        <v>0</v>
      </c>
      <c r="M213" s="11">
        <v>5</v>
      </c>
    </row>
    <row r="214" spans="1:13" ht="16.5" customHeight="1" x14ac:dyDescent="0.3">
      <c r="A214" s="8">
        <v>3443</v>
      </c>
      <c r="B214" s="8" t="s">
        <v>235</v>
      </c>
      <c r="C214" s="8" t="s">
        <v>18</v>
      </c>
      <c r="D214" s="10">
        <v>45560</v>
      </c>
      <c r="E214" s="8" t="s">
        <v>23</v>
      </c>
      <c r="F214" s="11">
        <v>15</v>
      </c>
      <c r="G214" s="8" t="s">
        <v>27</v>
      </c>
      <c r="H214" s="8" t="s">
        <v>19</v>
      </c>
      <c r="I214" s="11">
        <v>30</v>
      </c>
      <c r="J214" s="8" t="s">
        <v>19</v>
      </c>
      <c r="K214" s="11">
        <v>20</v>
      </c>
      <c r="L214" s="11">
        <v>20</v>
      </c>
      <c r="M214" s="11">
        <v>45</v>
      </c>
    </row>
    <row r="215" spans="1:13" ht="16.5" customHeight="1" x14ac:dyDescent="0.3">
      <c r="A215" s="8">
        <v>3444</v>
      </c>
      <c r="B215" s="8" t="s">
        <v>236</v>
      </c>
      <c r="C215" s="8" t="s">
        <v>26</v>
      </c>
      <c r="D215" s="10">
        <v>45561</v>
      </c>
      <c r="E215" s="8" t="s">
        <v>19</v>
      </c>
      <c r="F215" s="11">
        <v>10</v>
      </c>
      <c r="G215" s="8" t="s">
        <v>27</v>
      </c>
      <c r="H215" s="8" t="s">
        <v>23</v>
      </c>
      <c r="I215" s="11" t="s">
        <v>314</v>
      </c>
      <c r="J215" s="8" t="s">
        <v>19</v>
      </c>
      <c r="K215" s="11">
        <v>20</v>
      </c>
      <c r="L215" s="11">
        <v>12</v>
      </c>
      <c r="M215" s="11">
        <v>18</v>
      </c>
    </row>
    <row r="216" spans="1:13" ht="16.5" customHeight="1" x14ac:dyDescent="0.3">
      <c r="A216" s="8">
        <v>3445</v>
      </c>
      <c r="B216" s="8" t="s">
        <v>66</v>
      </c>
      <c r="C216" s="8" t="s">
        <v>22</v>
      </c>
      <c r="D216" s="10">
        <v>45562</v>
      </c>
      <c r="E216" s="8" t="s">
        <v>23</v>
      </c>
      <c r="F216" s="11">
        <v>5</v>
      </c>
      <c r="G216" s="8" t="s">
        <v>20</v>
      </c>
      <c r="H216" s="8" t="s">
        <v>23</v>
      </c>
      <c r="I216" s="11" t="s">
        <v>314</v>
      </c>
      <c r="J216" s="8" t="s">
        <v>23</v>
      </c>
      <c r="K216" s="11">
        <v>0</v>
      </c>
      <c r="L216" s="11">
        <v>2</v>
      </c>
      <c r="M216" s="11">
        <v>3</v>
      </c>
    </row>
    <row r="217" spans="1:13" ht="16.5" customHeight="1" x14ac:dyDescent="0.3">
      <c r="A217" s="8">
        <v>3446</v>
      </c>
      <c r="B217" s="8" t="s">
        <v>237</v>
      </c>
      <c r="C217" s="8" t="s">
        <v>18</v>
      </c>
      <c r="D217" s="10">
        <v>45563</v>
      </c>
      <c r="E217" s="8" t="s">
        <v>19</v>
      </c>
      <c r="F217" s="11">
        <v>15</v>
      </c>
      <c r="G217" s="8" t="s">
        <v>24</v>
      </c>
      <c r="H217" s="8" t="s">
        <v>19</v>
      </c>
      <c r="I217" s="11">
        <v>30</v>
      </c>
      <c r="J217" s="8" t="s">
        <v>19</v>
      </c>
      <c r="K217" s="11">
        <v>20</v>
      </c>
      <c r="L217" s="11">
        <v>5</v>
      </c>
      <c r="M217" s="11">
        <v>60</v>
      </c>
    </row>
    <row r="218" spans="1:13" ht="16.5" customHeight="1" x14ac:dyDescent="0.3">
      <c r="A218" s="8">
        <v>3447</v>
      </c>
      <c r="B218" s="8" t="s">
        <v>238</v>
      </c>
      <c r="C218" s="8" t="s">
        <v>26</v>
      </c>
      <c r="D218" s="10">
        <v>45564</v>
      </c>
      <c r="E218" s="8" t="s">
        <v>23</v>
      </c>
      <c r="F218" s="11">
        <v>10</v>
      </c>
      <c r="G218" s="8" t="s">
        <v>20</v>
      </c>
      <c r="H218" s="8" t="s">
        <v>23</v>
      </c>
      <c r="I218" s="11" t="s">
        <v>314</v>
      </c>
      <c r="J218" s="8" t="s">
        <v>19</v>
      </c>
      <c r="K218" s="11">
        <v>20</v>
      </c>
      <c r="L218" s="11">
        <v>10</v>
      </c>
      <c r="M218" s="11">
        <v>20</v>
      </c>
    </row>
    <row r="219" spans="1:13" ht="16.5" customHeight="1" x14ac:dyDescent="0.3">
      <c r="A219" s="8">
        <v>3448</v>
      </c>
      <c r="B219" s="8" t="s">
        <v>239</v>
      </c>
      <c r="C219" s="8" t="s">
        <v>22</v>
      </c>
      <c r="D219" s="10">
        <v>45565</v>
      </c>
      <c r="E219" s="8" t="s">
        <v>19</v>
      </c>
      <c r="F219" s="11">
        <v>5</v>
      </c>
      <c r="G219" s="8" t="s">
        <v>27</v>
      </c>
      <c r="H219" s="8" t="s">
        <v>23</v>
      </c>
      <c r="I219" s="11" t="s">
        <v>314</v>
      </c>
      <c r="J219" s="8" t="s">
        <v>23</v>
      </c>
      <c r="K219" s="11">
        <v>0</v>
      </c>
      <c r="L219" s="11">
        <v>0</v>
      </c>
      <c r="M219" s="11">
        <v>5</v>
      </c>
    </row>
    <row r="220" spans="1:13" ht="16.5" customHeight="1" x14ac:dyDescent="0.3">
      <c r="A220" s="8">
        <v>3449</v>
      </c>
      <c r="B220" s="8" t="s">
        <v>240</v>
      </c>
      <c r="C220" s="8" t="s">
        <v>18</v>
      </c>
      <c r="D220" s="10">
        <v>45566</v>
      </c>
      <c r="E220" s="8" t="s">
        <v>23</v>
      </c>
      <c r="F220" s="11">
        <v>15</v>
      </c>
      <c r="G220" s="8" t="s">
        <v>20</v>
      </c>
      <c r="H220" s="8" t="s">
        <v>19</v>
      </c>
      <c r="I220" s="11">
        <v>30</v>
      </c>
      <c r="J220" s="8" t="s">
        <v>19</v>
      </c>
      <c r="K220" s="11">
        <v>20</v>
      </c>
      <c r="L220" s="11">
        <v>3</v>
      </c>
      <c r="M220" s="11">
        <v>62</v>
      </c>
    </row>
    <row r="221" spans="1:13" ht="16.5" customHeight="1" x14ac:dyDescent="0.3">
      <c r="A221" s="8">
        <v>3450</v>
      </c>
      <c r="B221" s="8" t="s">
        <v>241</v>
      </c>
      <c r="C221" s="8" t="s">
        <v>26</v>
      </c>
      <c r="D221" s="10">
        <v>45567</v>
      </c>
      <c r="E221" s="8" t="s">
        <v>19</v>
      </c>
      <c r="F221" s="11">
        <v>10</v>
      </c>
      <c r="G221" s="8" t="s">
        <v>24</v>
      </c>
      <c r="H221" s="8" t="s">
        <v>23</v>
      </c>
      <c r="I221" s="11" t="s">
        <v>314</v>
      </c>
      <c r="J221" s="8" t="s">
        <v>19</v>
      </c>
      <c r="K221" s="11">
        <v>20</v>
      </c>
      <c r="L221" s="11">
        <v>15</v>
      </c>
      <c r="M221" s="11">
        <v>15</v>
      </c>
    </row>
    <row r="222" spans="1:13" ht="16.5" customHeight="1" x14ac:dyDescent="0.3">
      <c r="A222" s="8">
        <v>3451</v>
      </c>
      <c r="B222" s="8" t="s">
        <v>242</v>
      </c>
      <c r="C222" s="8" t="s">
        <v>22</v>
      </c>
      <c r="D222" s="10">
        <v>45568</v>
      </c>
      <c r="E222" s="8" t="s">
        <v>23</v>
      </c>
      <c r="F222" s="11">
        <v>5</v>
      </c>
      <c r="G222" s="8" t="s">
        <v>20</v>
      </c>
      <c r="H222" s="8" t="s">
        <v>23</v>
      </c>
      <c r="I222" s="11" t="s">
        <v>314</v>
      </c>
      <c r="J222" s="8" t="s">
        <v>23</v>
      </c>
      <c r="K222" s="11">
        <v>0</v>
      </c>
      <c r="L222" s="11">
        <v>1</v>
      </c>
      <c r="M222" s="11">
        <v>4</v>
      </c>
    </row>
    <row r="223" spans="1:13" ht="16.5" customHeight="1" x14ac:dyDescent="0.3">
      <c r="A223" s="8">
        <v>3452</v>
      </c>
      <c r="B223" s="8" t="s">
        <v>220</v>
      </c>
      <c r="C223" s="8" t="s">
        <v>18</v>
      </c>
      <c r="D223" s="10">
        <v>45569</v>
      </c>
      <c r="E223" s="8" t="s">
        <v>19</v>
      </c>
      <c r="F223" s="11">
        <v>15</v>
      </c>
      <c r="G223" s="8" t="s">
        <v>27</v>
      </c>
      <c r="H223" s="8" t="s">
        <v>19</v>
      </c>
      <c r="I223" s="11">
        <v>30</v>
      </c>
      <c r="J223" s="8" t="s">
        <v>19</v>
      </c>
      <c r="K223" s="11">
        <v>20</v>
      </c>
      <c r="L223" s="11">
        <v>7</v>
      </c>
      <c r="M223" s="11">
        <v>58</v>
      </c>
    </row>
    <row r="224" spans="1:13" ht="16.5" customHeight="1" x14ac:dyDescent="0.3">
      <c r="A224" s="8">
        <v>3453</v>
      </c>
      <c r="B224" s="8" t="s">
        <v>74</v>
      </c>
      <c r="C224" s="8" t="s">
        <v>26</v>
      </c>
      <c r="D224" s="10">
        <v>45570</v>
      </c>
      <c r="E224" s="8" t="s">
        <v>23</v>
      </c>
      <c r="F224" s="11">
        <v>10</v>
      </c>
      <c r="G224" s="8" t="s">
        <v>20</v>
      </c>
      <c r="H224" s="8" t="s">
        <v>23</v>
      </c>
      <c r="I224" s="11" t="s">
        <v>314</v>
      </c>
      <c r="J224" s="8" t="s">
        <v>19</v>
      </c>
      <c r="K224" s="11">
        <v>20</v>
      </c>
      <c r="L224" s="11">
        <v>10</v>
      </c>
      <c r="M224" s="11">
        <v>20</v>
      </c>
    </row>
    <row r="225" spans="1:13" ht="16.5" customHeight="1" x14ac:dyDescent="0.3">
      <c r="A225" s="8">
        <v>3454</v>
      </c>
      <c r="B225" s="8" t="s">
        <v>243</v>
      </c>
      <c r="C225" s="8" t="s">
        <v>22</v>
      </c>
      <c r="D225" s="10">
        <v>45571</v>
      </c>
      <c r="E225" s="8" t="s">
        <v>19</v>
      </c>
      <c r="F225" s="11">
        <v>5</v>
      </c>
      <c r="G225" s="8" t="s">
        <v>24</v>
      </c>
      <c r="H225" s="8" t="s">
        <v>23</v>
      </c>
      <c r="I225" s="11" t="s">
        <v>314</v>
      </c>
      <c r="J225" s="8" t="s">
        <v>23</v>
      </c>
      <c r="K225" s="11">
        <v>0</v>
      </c>
      <c r="L225" s="11">
        <v>0</v>
      </c>
      <c r="M225" s="11">
        <v>5</v>
      </c>
    </row>
    <row r="226" spans="1:13" ht="16.5" customHeight="1" x14ac:dyDescent="0.3">
      <c r="A226" s="8">
        <v>3455</v>
      </c>
      <c r="B226" s="8" t="s">
        <v>244</v>
      </c>
      <c r="C226" s="8" t="s">
        <v>18</v>
      </c>
      <c r="D226" s="10">
        <v>45572</v>
      </c>
      <c r="E226" s="8" t="s">
        <v>23</v>
      </c>
      <c r="F226" s="11">
        <v>15</v>
      </c>
      <c r="G226" s="8" t="s">
        <v>20</v>
      </c>
      <c r="H226" s="8" t="s">
        <v>19</v>
      </c>
      <c r="I226" s="11">
        <v>30</v>
      </c>
      <c r="J226" s="8" t="s">
        <v>19</v>
      </c>
      <c r="K226" s="11">
        <v>20</v>
      </c>
      <c r="L226" s="11">
        <v>20</v>
      </c>
      <c r="M226" s="11">
        <v>45</v>
      </c>
    </row>
    <row r="227" spans="1:13" ht="16.5" customHeight="1" x14ac:dyDescent="0.3">
      <c r="A227" s="8">
        <v>3456</v>
      </c>
      <c r="B227" s="8" t="s">
        <v>245</v>
      </c>
      <c r="C227" s="8" t="s">
        <v>26</v>
      </c>
      <c r="D227" s="10">
        <v>45573</v>
      </c>
      <c r="E227" s="8" t="s">
        <v>19</v>
      </c>
      <c r="F227" s="11">
        <v>10</v>
      </c>
      <c r="G227" s="8" t="s">
        <v>27</v>
      </c>
      <c r="H227" s="8" t="s">
        <v>23</v>
      </c>
      <c r="I227" s="11" t="s">
        <v>314</v>
      </c>
      <c r="J227" s="8" t="s">
        <v>19</v>
      </c>
      <c r="K227" s="11">
        <v>20</v>
      </c>
      <c r="L227" s="11">
        <v>15</v>
      </c>
      <c r="M227" s="11">
        <v>15</v>
      </c>
    </row>
    <row r="228" spans="1:13" ht="16.5" customHeight="1" x14ac:dyDescent="0.3">
      <c r="A228" s="8">
        <v>3457</v>
      </c>
      <c r="B228" s="8" t="s">
        <v>246</v>
      </c>
      <c r="C228" s="8" t="s">
        <v>22</v>
      </c>
      <c r="D228" s="10">
        <v>45574</v>
      </c>
      <c r="E228" s="8" t="s">
        <v>23</v>
      </c>
      <c r="F228" s="11">
        <v>5</v>
      </c>
      <c r="G228" s="8" t="s">
        <v>20</v>
      </c>
      <c r="H228" s="8" t="s">
        <v>23</v>
      </c>
      <c r="I228" s="11" t="s">
        <v>314</v>
      </c>
      <c r="J228" s="8" t="s">
        <v>23</v>
      </c>
      <c r="K228" s="11">
        <v>0</v>
      </c>
      <c r="L228" s="11">
        <v>1</v>
      </c>
      <c r="M228" s="11">
        <v>4</v>
      </c>
    </row>
    <row r="229" spans="1:13" ht="16.5" customHeight="1" x14ac:dyDescent="0.3">
      <c r="A229" s="8">
        <v>3458</v>
      </c>
      <c r="B229" s="8" t="s">
        <v>247</v>
      </c>
      <c r="C229" s="8" t="s">
        <v>18</v>
      </c>
      <c r="D229" s="10">
        <v>45575</v>
      </c>
      <c r="E229" s="8" t="s">
        <v>19</v>
      </c>
      <c r="F229" s="11">
        <v>15</v>
      </c>
      <c r="G229" s="8" t="s">
        <v>24</v>
      </c>
      <c r="H229" s="8" t="s">
        <v>19</v>
      </c>
      <c r="I229" s="11">
        <v>30</v>
      </c>
      <c r="J229" s="8" t="s">
        <v>19</v>
      </c>
      <c r="K229" s="11">
        <v>20</v>
      </c>
      <c r="L229" s="11">
        <v>3</v>
      </c>
      <c r="M229" s="11">
        <v>62</v>
      </c>
    </row>
    <row r="230" spans="1:13" ht="16.5" customHeight="1" x14ac:dyDescent="0.3">
      <c r="A230" s="8">
        <v>3459</v>
      </c>
      <c r="B230" s="8" t="s">
        <v>248</v>
      </c>
      <c r="C230" s="8" t="s">
        <v>26</v>
      </c>
      <c r="D230" s="10">
        <v>45576</v>
      </c>
      <c r="E230" s="8" t="s">
        <v>23</v>
      </c>
      <c r="F230" s="11">
        <v>10</v>
      </c>
      <c r="G230" s="8" t="s">
        <v>20</v>
      </c>
      <c r="H230" s="8" t="s">
        <v>23</v>
      </c>
      <c r="I230" s="11" t="s">
        <v>314</v>
      </c>
      <c r="J230" s="8" t="s">
        <v>19</v>
      </c>
      <c r="K230" s="11">
        <v>20</v>
      </c>
      <c r="L230" s="11">
        <v>10</v>
      </c>
      <c r="M230" s="11">
        <v>20</v>
      </c>
    </row>
    <row r="231" spans="1:13" ht="16.5" customHeight="1" x14ac:dyDescent="0.3">
      <c r="A231" s="8">
        <v>3460</v>
      </c>
      <c r="B231" s="8" t="s">
        <v>156</v>
      </c>
      <c r="C231" s="8" t="s">
        <v>22</v>
      </c>
      <c r="D231" s="10">
        <v>45577</v>
      </c>
      <c r="E231" s="8" t="s">
        <v>19</v>
      </c>
      <c r="F231" s="11">
        <v>5</v>
      </c>
      <c r="G231" s="8" t="s">
        <v>27</v>
      </c>
      <c r="H231" s="8" t="s">
        <v>23</v>
      </c>
      <c r="I231" s="11" t="s">
        <v>314</v>
      </c>
      <c r="J231" s="8" t="s">
        <v>23</v>
      </c>
      <c r="K231" s="11">
        <v>0</v>
      </c>
      <c r="L231" s="11">
        <v>0</v>
      </c>
      <c r="M231" s="11">
        <v>5</v>
      </c>
    </row>
    <row r="232" spans="1:13" ht="16.5" customHeight="1" x14ac:dyDescent="0.3">
      <c r="A232" s="8">
        <v>3461</v>
      </c>
      <c r="B232" s="8" t="s">
        <v>249</v>
      </c>
      <c r="C232" s="8" t="s">
        <v>18</v>
      </c>
      <c r="D232" s="10">
        <v>45578</v>
      </c>
      <c r="E232" s="8" t="s">
        <v>23</v>
      </c>
      <c r="F232" s="11">
        <v>15</v>
      </c>
      <c r="G232" s="8" t="s">
        <v>20</v>
      </c>
      <c r="H232" s="8" t="s">
        <v>19</v>
      </c>
      <c r="I232" s="11">
        <v>30</v>
      </c>
      <c r="J232" s="8" t="s">
        <v>19</v>
      </c>
      <c r="K232" s="11">
        <v>20</v>
      </c>
      <c r="L232" s="11">
        <v>15</v>
      </c>
      <c r="M232" s="11">
        <v>50</v>
      </c>
    </row>
    <row r="233" spans="1:13" ht="16.5" customHeight="1" x14ac:dyDescent="0.3">
      <c r="A233" s="8">
        <v>3462</v>
      </c>
      <c r="B233" s="8" t="s">
        <v>250</v>
      </c>
      <c r="C233" s="8" t="s">
        <v>26</v>
      </c>
      <c r="D233" s="10">
        <v>45579</v>
      </c>
      <c r="E233" s="8" t="s">
        <v>19</v>
      </c>
      <c r="F233" s="11">
        <v>10</v>
      </c>
      <c r="G233" s="8" t="s">
        <v>24</v>
      </c>
      <c r="H233" s="8" t="s">
        <v>23</v>
      </c>
      <c r="I233" s="11" t="s">
        <v>314</v>
      </c>
      <c r="J233" s="8" t="s">
        <v>19</v>
      </c>
      <c r="K233" s="11">
        <v>20</v>
      </c>
      <c r="L233" s="11">
        <v>15</v>
      </c>
      <c r="M233" s="11">
        <v>15</v>
      </c>
    </row>
    <row r="234" spans="1:13" ht="16.5" customHeight="1" x14ac:dyDescent="0.3">
      <c r="A234" s="8">
        <v>3463</v>
      </c>
      <c r="B234" s="8" t="s">
        <v>251</v>
      </c>
      <c r="C234" s="8" t="s">
        <v>22</v>
      </c>
      <c r="D234" s="10">
        <v>45580</v>
      </c>
      <c r="E234" s="8" t="s">
        <v>23</v>
      </c>
      <c r="F234" s="11">
        <v>5</v>
      </c>
      <c r="G234" s="8" t="s">
        <v>20</v>
      </c>
      <c r="H234" s="8" t="s">
        <v>23</v>
      </c>
      <c r="I234" s="11" t="s">
        <v>314</v>
      </c>
      <c r="J234" s="8" t="s">
        <v>23</v>
      </c>
      <c r="K234" s="11">
        <v>0</v>
      </c>
      <c r="L234" s="11">
        <v>1</v>
      </c>
      <c r="M234" s="11">
        <v>4</v>
      </c>
    </row>
    <row r="235" spans="1:13" ht="16.5" customHeight="1" x14ac:dyDescent="0.3">
      <c r="A235" s="8">
        <v>3464</v>
      </c>
      <c r="B235" s="8" t="s">
        <v>252</v>
      </c>
      <c r="C235" s="8" t="s">
        <v>18</v>
      </c>
      <c r="D235" s="10">
        <v>45581</v>
      </c>
      <c r="E235" s="8" t="s">
        <v>19</v>
      </c>
      <c r="F235" s="11">
        <v>15</v>
      </c>
      <c r="G235" s="8" t="s">
        <v>27</v>
      </c>
      <c r="H235" s="8" t="s">
        <v>19</v>
      </c>
      <c r="I235" s="11">
        <v>30</v>
      </c>
      <c r="J235" s="8" t="s">
        <v>19</v>
      </c>
      <c r="K235" s="11">
        <v>20</v>
      </c>
      <c r="L235" s="11">
        <v>7</v>
      </c>
      <c r="M235" s="11">
        <v>58</v>
      </c>
    </row>
    <row r="236" spans="1:13" ht="16.5" customHeight="1" x14ac:dyDescent="0.3">
      <c r="A236" s="8">
        <v>3465</v>
      </c>
      <c r="B236" s="8" t="s">
        <v>253</v>
      </c>
      <c r="C236" s="8" t="s">
        <v>26</v>
      </c>
      <c r="D236" s="10">
        <v>45582</v>
      </c>
      <c r="E236" s="8" t="s">
        <v>23</v>
      </c>
      <c r="F236" s="11">
        <v>10</v>
      </c>
      <c r="G236" s="8" t="s">
        <v>20</v>
      </c>
      <c r="H236" s="8" t="s">
        <v>23</v>
      </c>
      <c r="I236" s="11" t="s">
        <v>314</v>
      </c>
      <c r="J236" s="8" t="s">
        <v>19</v>
      </c>
      <c r="K236" s="11">
        <v>20</v>
      </c>
      <c r="L236" s="11">
        <v>10</v>
      </c>
      <c r="M236" s="11">
        <v>20</v>
      </c>
    </row>
    <row r="237" spans="1:13" ht="16.5" customHeight="1" x14ac:dyDescent="0.3">
      <c r="A237" s="8">
        <v>3466</v>
      </c>
      <c r="B237" s="8" t="s">
        <v>254</v>
      </c>
      <c r="C237" s="8" t="s">
        <v>22</v>
      </c>
      <c r="D237" s="10">
        <v>45583</v>
      </c>
      <c r="E237" s="8" t="s">
        <v>19</v>
      </c>
      <c r="F237" s="11">
        <v>5</v>
      </c>
      <c r="G237" s="8" t="s">
        <v>24</v>
      </c>
      <c r="H237" s="8" t="s">
        <v>23</v>
      </c>
      <c r="I237" s="11" t="s">
        <v>314</v>
      </c>
      <c r="J237" s="8" t="s">
        <v>23</v>
      </c>
      <c r="K237" s="11">
        <v>0</v>
      </c>
      <c r="L237" s="11">
        <v>0</v>
      </c>
      <c r="M237" s="11">
        <v>5</v>
      </c>
    </row>
    <row r="238" spans="1:13" ht="16.5" customHeight="1" x14ac:dyDescent="0.3">
      <c r="A238" s="8">
        <v>3467</v>
      </c>
      <c r="B238" s="8" t="s">
        <v>255</v>
      </c>
      <c r="C238" s="8" t="s">
        <v>18</v>
      </c>
      <c r="D238" s="10">
        <v>45584</v>
      </c>
      <c r="E238" s="8" t="s">
        <v>23</v>
      </c>
      <c r="F238" s="11">
        <v>15</v>
      </c>
      <c r="G238" s="8" t="s">
        <v>20</v>
      </c>
      <c r="H238" s="8" t="s">
        <v>19</v>
      </c>
      <c r="I238" s="11">
        <v>30</v>
      </c>
      <c r="J238" s="8" t="s">
        <v>19</v>
      </c>
      <c r="K238" s="11">
        <v>20</v>
      </c>
      <c r="L238" s="11">
        <v>15</v>
      </c>
      <c r="M238" s="11">
        <v>50</v>
      </c>
    </row>
    <row r="239" spans="1:13" ht="16.5" customHeight="1" x14ac:dyDescent="0.3">
      <c r="A239" s="8">
        <v>3468</v>
      </c>
      <c r="B239" s="8" t="s">
        <v>256</v>
      </c>
      <c r="C239" s="8" t="s">
        <v>26</v>
      </c>
      <c r="D239" s="10">
        <v>45585</v>
      </c>
      <c r="E239" s="8" t="s">
        <v>19</v>
      </c>
      <c r="F239" s="11">
        <v>10</v>
      </c>
      <c r="G239" s="8" t="s">
        <v>27</v>
      </c>
      <c r="H239" s="8" t="s">
        <v>23</v>
      </c>
      <c r="I239" s="11" t="s">
        <v>314</v>
      </c>
      <c r="J239" s="8" t="s">
        <v>19</v>
      </c>
      <c r="K239" s="11">
        <v>20</v>
      </c>
      <c r="L239" s="11">
        <v>12</v>
      </c>
      <c r="M239" s="11">
        <v>18</v>
      </c>
    </row>
    <row r="240" spans="1:13" ht="16.5" customHeight="1" x14ac:dyDescent="0.3">
      <c r="A240" s="8">
        <v>3469</v>
      </c>
      <c r="B240" s="8" t="s">
        <v>257</v>
      </c>
      <c r="C240" s="8" t="s">
        <v>22</v>
      </c>
      <c r="D240" s="10">
        <v>45586</v>
      </c>
      <c r="E240" s="8" t="s">
        <v>23</v>
      </c>
      <c r="F240" s="11">
        <v>5</v>
      </c>
      <c r="G240" s="8" t="s">
        <v>20</v>
      </c>
      <c r="H240" s="8" t="s">
        <v>23</v>
      </c>
      <c r="I240" s="11" t="s">
        <v>314</v>
      </c>
      <c r="J240" s="8" t="s">
        <v>23</v>
      </c>
      <c r="K240" s="11">
        <v>0</v>
      </c>
      <c r="L240" s="11">
        <v>2</v>
      </c>
      <c r="M240" s="11">
        <v>3</v>
      </c>
    </row>
    <row r="241" spans="1:13" ht="16.5" customHeight="1" x14ac:dyDescent="0.3">
      <c r="A241" s="8">
        <v>3470</v>
      </c>
      <c r="B241" s="8" t="s">
        <v>258</v>
      </c>
      <c r="C241" s="8" t="s">
        <v>18</v>
      </c>
      <c r="D241" s="10">
        <v>45587</v>
      </c>
      <c r="E241" s="8" t="s">
        <v>19</v>
      </c>
      <c r="F241" s="11">
        <v>15</v>
      </c>
      <c r="G241" s="8" t="s">
        <v>24</v>
      </c>
      <c r="H241" s="8" t="s">
        <v>19</v>
      </c>
      <c r="I241" s="11">
        <v>30</v>
      </c>
      <c r="J241" s="8" t="s">
        <v>19</v>
      </c>
      <c r="K241" s="11">
        <v>20</v>
      </c>
      <c r="L241" s="11">
        <v>5</v>
      </c>
      <c r="M241" s="11">
        <v>60</v>
      </c>
    </row>
    <row r="242" spans="1:13" ht="16.5" customHeight="1" x14ac:dyDescent="0.3">
      <c r="A242" s="8">
        <v>3471</v>
      </c>
      <c r="B242" s="8" t="s">
        <v>259</v>
      </c>
      <c r="C242" s="8" t="s">
        <v>26</v>
      </c>
      <c r="D242" s="10">
        <v>45588</v>
      </c>
      <c r="E242" s="8" t="s">
        <v>23</v>
      </c>
      <c r="F242" s="11">
        <v>10</v>
      </c>
      <c r="G242" s="8" t="s">
        <v>20</v>
      </c>
      <c r="H242" s="8" t="s">
        <v>23</v>
      </c>
      <c r="I242" s="11" t="s">
        <v>314</v>
      </c>
      <c r="J242" s="8" t="s">
        <v>19</v>
      </c>
      <c r="K242" s="11">
        <v>20</v>
      </c>
      <c r="L242" s="11">
        <v>10</v>
      </c>
      <c r="M242" s="11">
        <v>20</v>
      </c>
    </row>
    <row r="243" spans="1:13" ht="16.5" customHeight="1" x14ac:dyDescent="0.3">
      <c r="A243" s="8">
        <v>3472</v>
      </c>
      <c r="B243" s="8" t="s">
        <v>260</v>
      </c>
      <c r="C243" s="8" t="s">
        <v>22</v>
      </c>
      <c r="D243" s="10">
        <v>45589</v>
      </c>
      <c r="E243" s="8" t="s">
        <v>19</v>
      </c>
      <c r="F243" s="11">
        <v>5</v>
      </c>
      <c r="G243" s="8" t="s">
        <v>27</v>
      </c>
      <c r="H243" s="8" t="s">
        <v>23</v>
      </c>
      <c r="I243" s="11" t="s">
        <v>314</v>
      </c>
      <c r="J243" s="8" t="s">
        <v>23</v>
      </c>
      <c r="K243" s="11">
        <v>0</v>
      </c>
      <c r="L243" s="11">
        <v>0</v>
      </c>
      <c r="M243" s="11">
        <v>5</v>
      </c>
    </row>
    <row r="244" spans="1:13" ht="16.5" customHeight="1" x14ac:dyDescent="0.3">
      <c r="A244" s="8">
        <v>3473</v>
      </c>
      <c r="B244" s="8" t="s">
        <v>169</v>
      </c>
      <c r="C244" s="8" t="s">
        <v>18</v>
      </c>
      <c r="D244" s="10">
        <v>45590</v>
      </c>
      <c r="E244" s="8" t="s">
        <v>23</v>
      </c>
      <c r="F244" s="11">
        <v>15</v>
      </c>
      <c r="G244" s="8" t="s">
        <v>20</v>
      </c>
      <c r="H244" s="8" t="s">
        <v>19</v>
      </c>
      <c r="I244" s="11">
        <v>30</v>
      </c>
      <c r="J244" s="8" t="s">
        <v>19</v>
      </c>
      <c r="K244" s="11">
        <v>20</v>
      </c>
      <c r="L244" s="11">
        <v>3</v>
      </c>
      <c r="M244" s="11">
        <v>62</v>
      </c>
    </row>
    <row r="245" spans="1:13" ht="16.5" customHeight="1" x14ac:dyDescent="0.3">
      <c r="A245" s="8">
        <v>3474</v>
      </c>
      <c r="B245" s="8" t="s">
        <v>261</v>
      </c>
      <c r="C245" s="8" t="s">
        <v>26</v>
      </c>
      <c r="D245" s="10">
        <v>45591</v>
      </c>
      <c r="E245" s="8" t="s">
        <v>19</v>
      </c>
      <c r="F245" s="11">
        <v>10</v>
      </c>
      <c r="G245" s="8" t="s">
        <v>24</v>
      </c>
      <c r="H245" s="8" t="s">
        <v>23</v>
      </c>
      <c r="I245" s="11" t="s">
        <v>314</v>
      </c>
      <c r="J245" s="8" t="s">
        <v>19</v>
      </c>
      <c r="K245" s="11">
        <v>20</v>
      </c>
      <c r="L245" s="11">
        <v>15</v>
      </c>
      <c r="M245" s="11">
        <v>15</v>
      </c>
    </row>
    <row r="246" spans="1:13" ht="16.5" customHeight="1" x14ac:dyDescent="0.3">
      <c r="A246" s="8">
        <v>3475</v>
      </c>
      <c r="B246" s="8" t="s">
        <v>262</v>
      </c>
      <c r="C246" s="8" t="s">
        <v>22</v>
      </c>
      <c r="D246" s="10">
        <v>45592</v>
      </c>
      <c r="E246" s="8" t="s">
        <v>23</v>
      </c>
      <c r="F246" s="11">
        <v>5</v>
      </c>
      <c r="G246" s="8" t="s">
        <v>20</v>
      </c>
      <c r="H246" s="8" t="s">
        <v>23</v>
      </c>
      <c r="I246" s="11" t="s">
        <v>314</v>
      </c>
      <c r="J246" s="8" t="s">
        <v>23</v>
      </c>
      <c r="K246" s="11">
        <v>0</v>
      </c>
      <c r="L246" s="11">
        <v>1</v>
      </c>
      <c r="M246" s="11">
        <v>4</v>
      </c>
    </row>
    <row r="247" spans="1:13" ht="16.5" customHeight="1" x14ac:dyDescent="0.3">
      <c r="A247" s="8">
        <v>3476</v>
      </c>
      <c r="B247" s="8" t="s">
        <v>263</v>
      </c>
      <c r="C247" s="8" t="s">
        <v>18</v>
      </c>
      <c r="D247" s="10">
        <v>45593</v>
      </c>
      <c r="E247" s="8" t="s">
        <v>19</v>
      </c>
      <c r="F247" s="11">
        <v>15</v>
      </c>
      <c r="G247" s="8" t="s">
        <v>27</v>
      </c>
      <c r="H247" s="8" t="s">
        <v>19</v>
      </c>
      <c r="I247" s="11">
        <v>30</v>
      </c>
      <c r="J247" s="8" t="s">
        <v>19</v>
      </c>
      <c r="K247" s="11">
        <v>20</v>
      </c>
      <c r="L247" s="11">
        <v>7</v>
      </c>
      <c r="M247" s="11">
        <v>58</v>
      </c>
    </row>
    <row r="248" spans="1:13" ht="16.5" customHeight="1" x14ac:dyDescent="0.3">
      <c r="A248" s="8">
        <v>3477</v>
      </c>
      <c r="B248" s="8" t="s">
        <v>264</v>
      </c>
      <c r="C248" s="8" t="s">
        <v>26</v>
      </c>
      <c r="D248" s="10">
        <v>45594</v>
      </c>
      <c r="E248" s="8" t="s">
        <v>23</v>
      </c>
      <c r="F248" s="11">
        <v>10</v>
      </c>
      <c r="G248" s="8" t="s">
        <v>20</v>
      </c>
      <c r="H248" s="8" t="s">
        <v>23</v>
      </c>
      <c r="I248" s="11" t="s">
        <v>314</v>
      </c>
      <c r="J248" s="8" t="s">
        <v>19</v>
      </c>
      <c r="K248" s="11">
        <v>20</v>
      </c>
      <c r="L248" s="11">
        <v>10</v>
      </c>
      <c r="M248" s="11">
        <v>20</v>
      </c>
    </row>
    <row r="249" spans="1:13" ht="16.5" customHeight="1" x14ac:dyDescent="0.3">
      <c r="A249" s="8">
        <v>3478</v>
      </c>
      <c r="B249" s="8" t="s">
        <v>265</v>
      </c>
      <c r="C249" s="8" t="s">
        <v>22</v>
      </c>
      <c r="D249" s="10">
        <v>45595</v>
      </c>
      <c r="E249" s="8" t="s">
        <v>19</v>
      </c>
      <c r="F249" s="11">
        <v>5</v>
      </c>
      <c r="G249" s="8" t="s">
        <v>24</v>
      </c>
      <c r="H249" s="8" t="s">
        <v>23</v>
      </c>
      <c r="I249" s="11" t="s">
        <v>314</v>
      </c>
      <c r="J249" s="8" t="s">
        <v>23</v>
      </c>
      <c r="K249" s="11">
        <v>0</v>
      </c>
      <c r="L249" s="11">
        <v>0</v>
      </c>
      <c r="M249" s="11">
        <v>5</v>
      </c>
    </row>
    <row r="250" spans="1:13" ht="16.5" customHeight="1" x14ac:dyDescent="0.3">
      <c r="A250" s="8">
        <v>3479</v>
      </c>
      <c r="B250" s="8" t="s">
        <v>266</v>
      </c>
      <c r="C250" s="8" t="s">
        <v>18</v>
      </c>
      <c r="D250" s="10">
        <v>45596</v>
      </c>
      <c r="E250" s="8" t="s">
        <v>23</v>
      </c>
      <c r="F250" s="11">
        <v>15</v>
      </c>
      <c r="G250" s="8" t="s">
        <v>20</v>
      </c>
      <c r="H250" s="8" t="s">
        <v>19</v>
      </c>
      <c r="I250" s="11">
        <v>30</v>
      </c>
      <c r="J250" s="8" t="s">
        <v>19</v>
      </c>
      <c r="K250" s="11">
        <v>20</v>
      </c>
      <c r="L250" s="11">
        <v>20</v>
      </c>
      <c r="M250" s="11">
        <v>45</v>
      </c>
    </row>
    <row r="251" spans="1:13" ht="16.5" customHeight="1" x14ac:dyDescent="0.3">
      <c r="A251" s="8">
        <v>3480</v>
      </c>
      <c r="B251" s="8" t="s">
        <v>267</v>
      </c>
      <c r="C251" s="8" t="s">
        <v>26</v>
      </c>
      <c r="D251" s="10">
        <v>45597</v>
      </c>
      <c r="E251" s="8" t="s">
        <v>19</v>
      </c>
      <c r="F251" s="11">
        <v>10</v>
      </c>
      <c r="G251" s="8" t="s">
        <v>27</v>
      </c>
      <c r="H251" s="8" t="s">
        <v>23</v>
      </c>
      <c r="I251" s="11" t="s">
        <v>314</v>
      </c>
      <c r="J251" s="8" t="s">
        <v>19</v>
      </c>
      <c r="K251" s="11">
        <v>20</v>
      </c>
      <c r="L251" s="11">
        <v>15</v>
      </c>
      <c r="M251" s="11">
        <v>15</v>
      </c>
    </row>
    <row r="252" spans="1:13" ht="16.5" customHeight="1" x14ac:dyDescent="0.3">
      <c r="A252" s="8">
        <v>3481</v>
      </c>
      <c r="B252" s="8" t="s">
        <v>268</v>
      </c>
      <c r="C252" s="8" t="s">
        <v>22</v>
      </c>
      <c r="D252" s="10">
        <v>45598</v>
      </c>
      <c r="E252" s="8" t="s">
        <v>23</v>
      </c>
      <c r="F252" s="11">
        <v>5</v>
      </c>
      <c r="G252" s="8" t="s">
        <v>20</v>
      </c>
      <c r="H252" s="8" t="s">
        <v>23</v>
      </c>
      <c r="I252" s="11" t="s">
        <v>314</v>
      </c>
      <c r="J252" s="8" t="s">
        <v>23</v>
      </c>
      <c r="K252" s="11">
        <v>0</v>
      </c>
      <c r="L252" s="11">
        <v>1</v>
      </c>
      <c r="M252" s="11">
        <v>4</v>
      </c>
    </row>
    <row r="253" spans="1:13" ht="16.5" customHeight="1" x14ac:dyDescent="0.3">
      <c r="A253" s="8">
        <v>3482</v>
      </c>
      <c r="B253" s="8" t="s">
        <v>269</v>
      </c>
      <c r="C253" s="8" t="s">
        <v>18</v>
      </c>
      <c r="D253" s="10">
        <v>45599</v>
      </c>
      <c r="E253" s="8" t="s">
        <v>19</v>
      </c>
      <c r="F253" s="11">
        <v>15</v>
      </c>
      <c r="G253" s="8" t="s">
        <v>24</v>
      </c>
      <c r="H253" s="8" t="s">
        <v>19</v>
      </c>
      <c r="I253" s="11">
        <v>30</v>
      </c>
      <c r="J253" s="8" t="s">
        <v>19</v>
      </c>
      <c r="K253" s="11">
        <v>20</v>
      </c>
      <c r="L253" s="11">
        <v>3</v>
      </c>
      <c r="M253" s="11">
        <v>62</v>
      </c>
    </row>
    <row r="254" spans="1:13" ht="16.5" customHeight="1" x14ac:dyDescent="0.3">
      <c r="A254" s="8">
        <v>3483</v>
      </c>
      <c r="B254" s="8" t="s">
        <v>270</v>
      </c>
      <c r="C254" s="8" t="s">
        <v>26</v>
      </c>
      <c r="D254" s="10">
        <v>45600</v>
      </c>
      <c r="E254" s="8" t="s">
        <v>23</v>
      </c>
      <c r="F254" s="11">
        <v>10</v>
      </c>
      <c r="G254" s="8" t="s">
        <v>20</v>
      </c>
      <c r="H254" s="8" t="s">
        <v>23</v>
      </c>
      <c r="I254" s="11" t="s">
        <v>314</v>
      </c>
      <c r="J254" s="8" t="s">
        <v>19</v>
      </c>
      <c r="K254" s="11">
        <v>20</v>
      </c>
      <c r="L254" s="11">
        <v>10</v>
      </c>
      <c r="M254" s="11">
        <v>20</v>
      </c>
    </row>
    <row r="255" spans="1:13" ht="16.5" customHeight="1" x14ac:dyDescent="0.3">
      <c r="A255" s="8">
        <v>3484</v>
      </c>
      <c r="B255" s="8" t="s">
        <v>271</v>
      </c>
      <c r="C255" s="8" t="s">
        <v>22</v>
      </c>
      <c r="D255" s="10">
        <v>45601</v>
      </c>
      <c r="E255" s="8" t="s">
        <v>19</v>
      </c>
      <c r="F255" s="11">
        <v>5</v>
      </c>
      <c r="G255" s="8" t="s">
        <v>27</v>
      </c>
      <c r="H255" s="8" t="s">
        <v>23</v>
      </c>
      <c r="I255" s="11" t="s">
        <v>314</v>
      </c>
      <c r="J255" s="8" t="s">
        <v>23</v>
      </c>
      <c r="K255" s="11">
        <v>0</v>
      </c>
      <c r="L255" s="11">
        <v>0</v>
      </c>
      <c r="M255" s="11">
        <v>5</v>
      </c>
    </row>
    <row r="256" spans="1:13" ht="16.5" customHeight="1" x14ac:dyDescent="0.3">
      <c r="A256" s="8">
        <v>3485</v>
      </c>
      <c r="B256" s="8" t="s">
        <v>272</v>
      </c>
      <c r="C256" s="8" t="s">
        <v>18</v>
      </c>
      <c r="D256" s="10">
        <v>45602</v>
      </c>
      <c r="E256" s="8" t="s">
        <v>23</v>
      </c>
      <c r="F256" s="11">
        <v>15</v>
      </c>
      <c r="G256" s="8" t="s">
        <v>20</v>
      </c>
      <c r="H256" s="8" t="s">
        <v>19</v>
      </c>
      <c r="I256" s="11">
        <v>30</v>
      </c>
      <c r="J256" s="8" t="s">
        <v>19</v>
      </c>
      <c r="K256" s="11">
        <v>20</v>
      </c>
      <c r="L256" s="11">
        <v>15</v>
      </c>
      <c r="M256" s="11">
        <v>50</v>
      </c>
    </row>
    <row r="257" spans="1:13" ht="16.5" customHeight="1" x14ac:dyDescent="0.3">
      <c r="A257" s="8">
        <v>3486</v>
      </c>
      <c r="B257" s="8" t="s">
        <v>273</v>
      </c>
      <c r="C257" s="8" t="s">
        <v>22</v>
      </c>
      <c r="D257" s="10">
        <v>45603</v>
      </c>
      <c r="E257" s="8" t="s">
        <v>19</v>
      </c>
      <c r="F257" s="11">
        <v>5</v>
      </c>
      <c r="G257" s="8" t="s">
        <v>20</v>
      </c>
      <c r="H257" s="8" t="s">
        <v>23</v>
      </c>
      <c r="I257" s="11" t="s">
        <v>314</v>
      </c>
      <c r="J257" s="8" t="s">
        <v>23</v>
      </c>
      <c r="K257" s="11">
        <v>0</v>
      </c>
      <c r="L257" s="11">
        <v>0</v>
      </c>
      <c r="M257" s="11">
        <v>5</v>
      </c>
    </row>
    <row r="258" spans="1:13" ht="16.5" customHeight="1" x14ac:dyDescent="0.3">
      <c r="A258" s="8">
        <v>3487</v>
      </c>
      <c r="B258" s="8" t="s">
        <v>274</v>
      </c>
      <c r="C258" s="8" t="s">
        <v>18</v>
      </c>
      <c r="D258" s="10">
        <v>45604</v>
      </c>
      <c r="E258" s="8" t="s">
        <v>23</v>
      </c>
      <c r="F258" s="11">
        <v>15</v>
      </c>
      <c r="G258" s="8" t="s">
        <v>27</v>
      </c>
      <c r="H258" s="8" t="s">
        <v>19</v>
      </c>
      <c r="I258" s="11">
        <v>30</v>
      </c>
      <c r="J258" s="8" t="s">
        <v>19</v>
      </c>
      <c r="K258" s="11">
        <v>20</v>
      </c>
      <c r="L258" s="11">
        <v>7</v>
      </c>
      <c r="M258" s="11">
        <v>58</v>
      </c>
    </row>
    <row r="259" spans="1:13" ht="16.5" customHeight="1" x14ac:dyDescent="0.3">
      <c r="A259" s="8">
        <v>3488</v>
      </c>
      <c r="B259" s="8" t="s">
        <v>275</v>
      </c>
      <c r="C259" s="8" t="s">
        <v>26</v>
      </c>
      <c r="D259" s="10">
        <v>45605</v>
      </c>
      <c r="E259" s="8" t="s">
        <v>19</v>
      </c>
      <c r="F259" s="11">
        <v>10</v>
      </c>
      <c r="G259" s="8" t="s">
        <v>24</v>
      </c>
      <c r="H259" s="8" t="s">
        <v>23</v>
      </c>
      <c r="I259" s="11" t="s">
        <v>314</v>
      </c>
      <c r="J259" s="8" t="s">
        <v>19</v>
      </c>
      <c r="K259" s="11">
        <v>20</v>
      </c>
      <c r="L259" s="11">
        <v>10</v>
      </c>
      <c r="M259" s="11">
        <v>20</v>
      </c>
    </row>
    <row r="260" spans="1:13" ht="16.5" customHeight="1" x14ac:dyDescent="0.3">
      <c r="A260" s="8">
        <v>3489</v>
      </c>
      <c r="B260" s="8" t="s">
        <v>276</v>
      </c>
      <c r="C260" s="8" t="s">
        <v>22</v>
      </c>
      <c r="D260" s="10">
        <v>45606</v>
      </c>
      <c r="E260" s="8" t="s">
        <v>23</v>
      </c>
      <c r="F260" s="11">
        <v>5</v>
      </c>
      <c r="G260" s="8" t="s">
        <v>27</v>
      </c>
      <c r="H260" s="8" t="s">
        <v>23</v>
      </c>
      <c r="I260" s="11" t="s">
        <v>314</v>
      </c>
      <c r="J260" s="8" t="s">
        <v>23</v>
      </c>
      <c r="K260" s="11">
        <v>0</v>
      </c>
      <c r="L260" s="11">
        <v>1</v>
      </c>
      <c r="M260" s="11">
        <v>4</v>
      </c>
    </row>
    <row r="261" spans="1:13" ht="16.5" customHeight="1" x14ac:dyDescent="0.3">
      <c r="A261" s="8">
        <v>3490</v>
      </c>
      <c r="B261" s="8" t="s">
        <v>277</v>
      </c>
      <c r="C261" s="8" t="s">
        <v>18</v>
      </c>
      <c r="D261" s="10">
        <v>45607</v>
      </c>
      <c r="E261" s="8" t="s">
        <v>19</v>
      </c>
      <c r="F261" s="11">
        <v>15</v>
      </c>
      <c r="G261" s="8" t="s">
        <v>20</v>
      </c>
      <c r="H261" s="8" t="s">
        <v>19</v>
      </c>
      <c r="I261" s="11">
        <v>30</v>
      </c>
      <c r="J261" s="8" t="s">
        <v>19</v>
      </c>
      <c r="K261" s="11">
        <v>20</v>
      </c>
      <c r="L261" s="11">
        <v>15</v>
      </c>
      <c r="M261" s="11">
        <v>50</v>
      </c>
    </row>
    <row r="262" spans="1:13" ht="16.5" customHeight="1" x14ac:dyDescent="0.3">
      <c r="A262" s="8">
        <v>3491</v>
      </c>
      <c r="B262" s="8" t="s">
        <v>278</v>
      </c>
      <c r="C262" s="8" t="s">
        <v>26</v>
      </c>
      <c r="D262" s="10">
        <v>45608</v>
      </c>
      <c r="E262" s="8" t="s">
        <v>23</v>
      </c>
      <c r="F262" s="11">
        <v>10</v>
      </c>
      <c r="G262" s="8" t="s">
        <v>20</v>
      </c>
      <c r="H262" s="8" t="s">
        <v>23</v>
      </c>
      <c r="I262" s="11" t="s">
        <v>314</v>
      </c>
      <c r="J262" s="8" t="s">
        <v>19</v>
      </c>
      <c r="K262" s="11">
        <v>20</v>
      </c>
      <c r="L262" s="11">
        <v>5</v>
      </c>
      <c r="M262" s="11">
        <v>25</v>
      </c>
    </row>
    <row r="263" spans="1:13" ht="16.5" customHeight="1" x14ac:dyDescent="0.3">
      <c r="A263" s="8">
        <v>3492</v>
      </c>
      <c r="B263" s="8" t="s">
        <v>279</v>
      </c>
      <c r="C263" s="8" t="s">
        <v>22</v>
      </c>
      <c r="D263" s="10">
        <v>45609</v>
      </c>
      <c r="E263" s="8" t="s">
        <v>19</v>
      </c>
      <c r="F263" s="11">
        <v>5</v>
      </c>
      <c r="G263" s="8" t="s">
        <v>24</v>
      </c>
      <c r="H263" s="8" t="s">
        <v>23</v>
      </c>
      <c r="I263" s="11" t="s">
        <v>314</v>
      </c>
      <c r="J263" s="8" t="s">
        <v>23</v>
      </c>
      <c r="K263" s="11">
        <v>0</v>
      </c>
      <c r="L263" s="11">
        <v>0</v>
      </c>
      <c r="M263" s="11">
        <v>5</v>
      </c>
    </row>
    <row r="264" spans="1:13" ht="16.5" customHeight="1" x14ac:dyDescent="0.3">
      <c r="A264" s="8">
        <v>3493</v>
      </c>
      <c r="B264" s="8" t="s">
        <v>280</v>
      </c>
      <c r="C264" s="8" t="s">
        <v>18</v>
      </c>
      <c r="D264" s="10">
        <v>45610</v>
      </c>
      <c r="E264" s="8" t="s">
        <v>23</v>
      </c>
      <c r="F264" s="11">
        <v>15</v>
      </c>
      <c r="G264" s="8" t="s">
        <v>27</v>
      </c>
      <c r="H264" s="8" t="s">
        <v>19</v>
      </c>
      <c r="I264" s="11">
        <v>30</v>
      </c>
      <c r="J264" s="8" t="s">
        <v>19</v>
      </c>
      <c r="K264" s="11">
        <v>20</v>
      </c>
      <c r="L264" s="11">
        <v>20</v>
      </c>
      <c r="M264" s="11">
        <v>45</v>
      </c>
    </row>
    <row r="265" spans="1:13" ht="16.5" customHeight="1" x14ac:dyDescent="0.3">
      <c r="A265" s="8">
        <v>3494</v>
      </c>
      <c r="B265" s="8" t="s">
        <v>281</v>
      </c>
      <c r="C265" s="8" t="s">
        <v>26</v>
      </c>
      <c r="D265" s="10">
        <v>45611</v>
      </c>
      <c r="E265" s="8" t="s">
        <v>19</v>
      </c>
      <c r="F265" s="11">
        <v>10</v>
      </c>
      <c r="G265" s="8" t="s">
        <v>27</v>
      </c>
      <c r="H265" s="8" t="s">
        <v>23</v>
      </c>
      <c r="I265" s="11" t="s">
        <v>314</v>
      </c>
      <c r="J265" s="8" t="s">
        <v>19</v>
      </c>
      <c r="K265" s="11">
        <v>20</v>
      </c>
      <c r="L265" s="11">
        <v>12</v>
      </c>
      <c r="M265" s="11">
        <v>18</v>
      </c>
    </row>
    <row r="266" spans="1:13" ht="16.5" customHeight="1" x14ac:dyDescent="0.3">
      <c r="A266" s="8">
        <v>3495</v>
      </c>
      <c r="B266" s="8" t="s">
        <v>282</v>
      </c>
      <c r="C266" s="8" t="s">
        <v>22</v>
      </c>
      <c r="D266" s="10">
        <v>45612</v>
      </c>
      <c r="E266" s="8" t="s">
        <v>23</v>
      </c>
      <c r="F266" s="11">
        <v>5</v>
      </c>
      <c r="G266" s="8" t="s">
        <v>20</v>
      </c>
      <c r="H266" s="8" t="s">
        <v>23</v>
      </c>
      <c r="I266" s="11" t="s">
        <v>314</v>
      </c>
      <c r="J266" s="8" t="s">
        <v>23</v>
      </c>
      <c r="K266" s="11">
        <v>0</v>
      </c>
      <c r="L266" s="11">
        <v>2</v>
      </c>
      <c r="M266" s="11">
        <v>3</v>
      </c>
    </row>
    <row r="267" spans="1:13" ht="16.5" customHeight="1" x14ac:dyDescent="0.3">
      <c r="A267" s="8">
        <v>3496</v>
      </c>
      <c r="B267" s="8" t="s">
        <v>283</v>
      </c>
      <c r="C267" s="8" t="s">
        <v>18</v>
      </c>
      <c r="D267" s="10">
        <v>45613</v>
      </c>
      <c r="E267" s="8" t="s">
        <v>19</v>
      </c>
      <c r="F267" s="11">
        <v>15</v>
      </c>
      <c r="G267" s="8" t="s">
        <v>24</v>
      </c>
      <c r="H267" s="8" t="s">
        <v>19</v>
      </c>
      <c r="I267" s="11">
        <v>30</v>
      </c>
      <c r="J267" s="8" t="s">
        <v>19</v>
      </c>
      <c r="K267" s="11">
        <v>20</v>
      </c>
      <c r="L267" s="11">
        <v>5</v>
      </c>
      <c r="M267" s="11">
        <v>60</v>
      </c>
    </row>
    <row r="268" spans="1:13" ht="16.5" customHeight="1" x14ac:dyDescent="0.3">
      <c r="A268" s="8">
        <v>3497</v>
      </c>
      <c r="B268" s="8" t="s">
        <v>284</v>
      </c>
      <c r="C268" s="8" t="s">
        <v>26</v>
      </c>
      <c r="D268" s="10">
        <v>45614</v>
      </c>
      <c r="E268" s="8" t="s">
        <v>23</v>
      </c>
      <c r="F268" s="11">
        <v>10</v>
      </c>
      <c r="G268" s="8" t="s">
        <v>20</v>
      </c>
      <c r="H268" s="8" t="s">
        <v>23</v>
      </c>
      <c r="I268" s="11" t="s">
        <v>314</v>
      </c>
      <c r="J268" s="8" t="s">
        <v>19</v>
      </c>
      <c r="K268" s="11">
        <v>20</v>
      </c>
      <c r="L268" s="11">
        <v>10</v>
      </c>
      <c r="M268" s="11">
        <v>20</v>
      </c>
    </row>
    <row r="269" spans="1:13" ht="16.5" customHeight="1" x14ac:dyDescent="0.3">
      <c r="A269" s="8">
        <v>3498</v>
      </c>
      <c r="B269" s="8" t="s">
        <v>285</v>
      </c>
      <c r="C269" s="8" t="s">
        <v>22</v>
      </c>
      <c r="D269" s="10">
        <v>45615</v>
      </c>
      <c r="E269" s="8" t="s">
        <v>19</v>
      </c>
      <c r="F269" s="11">
        <v>5</v>
      </c>
      <c r="G269" s="8" t="s">
        <v>27</v>
      </c>
      <c r="H269" s="8" t="s">
        <v>23</v>
      </c>
      <c r="I269" s="11" t="s">
        <v>314</v>
      </c>
      <c r="J269" s="8" t="s">
        <v>23</v>
      </c>
      <c r="K269" s="11">
        <v>0</v>
      </c>
      <c r="L269" s="11">
        <v>0</v>
      </c>
      <c r="M269" s="11">
        <v>5</v>
      </c>
    </row>
    <row r="270" spans="1:13" ht="16.5" customHeight="1" x14ac:dyDescent="0.3">
      <c r="A270" s="8">
        <v>3499</v>
      </c>
      <c r="B270" s="8" t="s">
        <v>286</v>
      </c>
      <c r="C270" s="8" t="s">
        <v>18</v>
      </c>
      <c r="D270" s="10">
        <v>45616</v>
      </c>
      <c r="E270" s="8" t="s">
        <v>23</v>
      </c>
      <c r="F270" s="11">
        <v>15</v>
      </c>
      <c r="G270" s="8" t="s">
        <v>20</v>
      </c>
      <c r="H270" s="8" t="s">
        <v>19</v>
      </c>
      <c r="I270" s="11">
        <v>30</v>
      </c>
      <c r="J270" s="8" t="s">
        <v>19</v>
      </c>
      <c r="K270" s="11">
        <v>20</v>
      </c>
      <c r="L270" s="11">
        <v>3</v>
      </c>
      <c r="M270" s="11">
        <v>62</v>
      </c>
    </row>
    <row r="271" spans="1:13" ht="16.5" customHeight="1" x14ac:dyDescent="0.3">
      <c r="A271" s="8">
        <v>3500</v>
      </c>
      <c r="B271" s="8" t="s">
        <v>287</v>
      </c>
      <c r="C271" s="8" t="s">
        <v>26</v>
      </c>
      <c r="D271" s="10">
        <v>45617</v>
      </c>
      <c r="E271" s="8" t="s">
        <v>19</v>
      </c>
      <c r="F271" s="11">
        <v>10</v>
      </c>
      <c r="G271" s="8" t="s">
        <v>24</v>
      </c>
      <c r="H271" s="8" t="s">
        <v>23</v>
      </c>
      <c r="I271" s="11" t="s">
        <v>314</v>
      </c>
      <c r="J271" s="8" t="s">
        <v>19</v>
      </c>
      <c r="K271" s="11">
        <v>20</v>
      </c>
      <c r="L271" s="11">
        <v>15</v>
      </c>
      <c r="M271" s="11">
        <v>15</v>
      </c>
    </row>
    <row r="272" spans="1:13" ht="16.5" customHeight="1" x14ac:dyDescent="0.3">
      <c r="A272" s="8">
        <v>3501</v>
      </c>
      <c r="B272" s="8" t="s">
        <v>288</v>
      </c>
      <c r="C272" s="8" t="s">
        <v>22</v>
      </c>
      <c r="D272" s="10">
        <v>45618</v>
      </c>
      <c r="E272" s="8" t="s">
        <v>23</v>
      </c>
      <c r="F272" s="11">
        <v>5</v>
      </c>
      <c r="G272" s="8" t="s">
        <v>20</v>
      </c>
      <c r="H272" s="8" t="s">
        <v>23</v>
      </c>
      <c r="I272" s="11" t="s">
        <v>314</v>
      </c>
      <c r="J272" s="8" t="s">
        <v>23</v>
      </c>
      <c r="K272" s="11">
        <v>0</v>
      </c>
      <c r="L272" s="11">
        <v>1</v>
      </c>
      <c r="M272" s="11">
        <v>4</v>
      </c>
    </row>
    <row r="273" spans="1:13" ht="16.5" customHeight="1" x14ac:dyDescent="0.3">
      <c r="A273" s="8">
        <v>3502</v>
      </c>
      <c r="B273" s="8" t="s">
        <v>289</v>
      </c>
      <c r="C273" s="8" t="s">
        <v>18</v>
      </c>
      <c r="D273" s="10">
        <v>45619</v>
      </c>
      <c r="E273" s="8" t="s">
        <v>19</v>
      </c>
      <c r="F273" s="11">
        <v>15</v>
      </c>
      <c r="G273" s="8" t="s">
        <v>27</v>
      </c>
      <c r="H273" s="8" t="s">
        <v>19</v>
      </c>
      <c r="I273" s="11">
        <v>30</v>
      </c>
      <c r="J273" s="8" t="s">
        <v>19</v>
      </c>
      <c r="K273" s="11">
        <v>20</v>
      </c>
      <c r="L273" s="11">
        <v>7</v>
      </c>
      <c r="M273" s="11">
        <v>58</v>
      </c>
    </row>
    <row r="274" spans="1:13" ht="16.5" customHeight="1" x14ac:dyDescent="0.3">
      <c r="A274" s="8">
        <v>3503</v>
      </c>
      <c r="B274" s="8" t="s">
        <v>148</v>
      </c>
      <c r="C274" s="8" t="s">
        <v>26</v>
      </c>
      <c r="D274" s="10">
        <v>45620</v>
      </c>
      <c r="E274" s="8" t="s">
        <v>23</v>
      </c>
      <c r="F274" s="11">
        <v>10</v>
      </c>
      <c r="G274" s="8" t="s">
        <v>20</v>
      </c>
      <c r="H274" s="8" t="s">
        <v>23</v>
      </c>
      <c r="I274" s="11" t="s">
        <v>314</v>
      </c>
      <c r="J274" s="8" t="s">
        <v>19</v>
      </c>
      <c r="K274" s="11">
        <v>20</v>
      </c>
      <c r="L274" s="11">
        <v>10</v>
      </c>
      <c r="M274" s="11">
        <v>20</v>
      </c>
    </row>
    <row r="275" spans="1:13" ht="16.5" customHeight="1" x14ac:dyDescent="0.3">
      <c r="A275" s="8">
        <v>3504</v>
      </c>
      <c r="B275" s="8" t="s">
        <v>290</v>
      </c>
      <c r="C275" s="8" t="s">
        <v>22</v>
      </c>
      <c r="D275" s="10">
        <v>45621</v>
      </c>
      <c r="E275" s="8" t="s">
        <v>19</v>
      </c>
      <c r="F275" s="11">
        <v>5</v>
      </c>
      <c r="G275" s="8" t="s">
        <v>24</v>
      </c>
      <c r="H275" s="8" t="s">
        <v>23</v>
      </c>
      <c r="I275" s="11" t="s">
        <v>314</v>
      </c>
      <c r="J275" s="8" t="s">
        <v>23</v>
      </c>
      <c r="K275" s="11">
        <v>0</v>
      </c>
      <c r="L275" s="11">
        <v>0</v>
      </c>
      <c r="M275" s="11">
        <v>5</v>
      </c>
    </row>
    <row r="276" spans="1:13" ht="16.5" customHeight="1" x14ac:dyDescent="0.3">
      <c r="A276" s="8">
        <v>3505</v>
      </c>
      <c r="B276" s="8" t="s">
        <v>291</v>
      </c>
      <c r="C276" s="8" t="s">
        <v>18</v>
      </c>
      <c r="D276" s="10">
        <v>45622</v>
      </c>
      <c r="E276" s="8" t="s">
        <v>23</v>
      </c>
      <c r="F276" s="11">
        <v>15</v>
      </c>
      <c r="G276" s="8" t="s">
        <v>20</v>
      </c>
      <c r="H276" s="8" t="s">
        <v>19</v>
      </c>
      <c r="I276" s="11">
        <v>30</v>
      </c>
      <c r="J276" s="8" t="s">
        <v>19</v>
      </c>
      <c r="K276" s="11">
        <v>20</v>
      </c>
      <c r="L276" s="11">
        <v>20</v>
      </c>
      <c r="M276" s="11">
        <v>45</v>
      </c>
    </row>
    <row r="277" spans="1:13" ht="16.5" customHeight="1" x14ac:dyDescent="0.3">
      <c r="A277" s="8">
        <v>3506</v>
      </c>
      <c r="B277" s="8" t="s">
        <v>292</v>
      </c>
      <c r="C277" s="8" t="s">
        <v>26</v>
      </c>
      <c r="D277" s="10">
        <v>45623</v>
      </c>
      <c r="E277" s="8" t="s">
        <v>19</v>
      </c>
      <c r="F277" s="11">
        <v>10</v>
      </c>
      <c r="G277" s="8" t="s">
        <v>27</v>
      </c>
      <c r="H277" s="8" t="s">
        <v>23</v>
      </c>
      <c r="I277" s="11" t="s">
        <v>314</v>
      </c>
      <c r="J277" s="8" t="s">
        <v>19</v>
      </c>
      <c r="K277" s="11">
        <v>20</v>
      </c>
      <c r="L277" s="11">
        <v>15</v>
      </c>
      <c r="M277" s="11">
        <v>15</v>
      </c>
    </row>
    <row r="278" spans="1:13" ht="16.5" customHeight="1" x14ac:dyDescent="0.3">
      <c r="A278" s="8">
        <v>3507</v>
      </c>
      <c r="B278" s="8" t="s">
        <v>293</v>
      </c>
      <c r="C278" s="8" t="s">
        <v>22</v>
      </c>
      <c r="D278" s="10">
        <v>45624</v>
      </c>
      <c r="E278" s="8" t="s">
        <v>23</v>
      </c>
      <c r="F278" s="11">
        <v>5</v>
      </c>
      <c r="G278" s="8" t="s">
        <v>20</v>
      </c>
      <c r="H278" s="8" t="s">
        <v>23</v>
      </c>
      <c r="I278" s="11" t="s">
        <v>314</v>
      </c>
      <c r="J278" s="8" t="s">
        <v>23</v>
      </c>
      <c r="K278" s="11">
        <v>0</v>
      </c>
      <c r="L278" s="11">
        <v>1</v>
      </c>
      <c r="M278" s="11">
        <v>4</v>
      </c>
    </row>
    <row r="279" spans="1:13" ht="16.5" customHeight="1" x14ac:dyDescent="0.3">
      <c r="A279" s="8">
        <v>3508</v>
      </c>
      <c r="B279" s="8" t="s">
        <v>294</v>
      </c>
      <c r="C279" s="8" t="s">
        <v>18</v>
      </c>
      <c r="D279" s="10">
        <v>45625</v>
      </c>
      <c r="E279" s="8" t="s">
        <v>19</v>
      </c>
      <c r="F279" s="11">
        <v>15</v>
      </c>
      <c r="G279" s="8" t="s">
        <v>24</v>
      </c>
      <c r="H279" s="8" t="s">
        <v>19</v>
      </c>
      <c r="I279" s="11">
        <v>30</v>
      </c>
      <c r="J279" s="8" t="s">
        <v>19</v>
      </c>
      <c r="K279" s="11">
        <v>20</v>
      </c>
      <c r="L279" s="11">
        <v>3</v>
      </c>
      <c r="M279" s="11">
        <v>62</v>
      </c>
    </row>
    <row r="280" spans="1:13" ht="16.5" customHeight="1" x14ac:dyDescent="0.3">
      <c r="A280" s="8">
        <v>3509</v>
      </c>
      <c r="B280" s="8" t="s">
        <v>295</v>
      </c>
      <c r="C280" s="8" t="s">
        <v>26</v>
      </c>
      <c r="D280" s="10">
        <v>45626</v>
      </c>
      <c r="E280" s="8" t="s">
        <v>23</v>
      </c>
      <c r="F280" s="11">
        <v>10</v>
      </c>
      <c r="G280" s="8" t="s">
        <v>20</v>
      </c>
      <c r="H280" s="8" t="s">
        <v>23</v>
      </c>
      <c r="I280" s="11" t="s">
        <v>314</v>
      </c>
      <c r="J280" s="8" t="s">
        <v>19</v>
      </c>
      <c r="K280" s="11">
        <v>20</v>
      </c>
      <c r="L280" s="11">
        <v>10</v>
      </c>
      <c r="M280" s="11">
        <v>20</v>
      </c>
    </row>
    <row r="281" spans="1:13" ht="16.5" customHeight="1" x14ac:dyDescent="0.3">
      <c r="A281" s="8">
        <v>3510</v>
      </c>
      <c r="B281" s="8" t="s">
        <v>296</v>
      </c>
      <c r="C281" s="8" t="s">
        <v>22</v>
      </c>
      <c r="D281" s="10">
        <v>45627</v>
      </c>
      <c r="E281" s="8" t="s">
        <v>19</v>
      </c>
      <c r="F281" s="11">
        <v>5</v>
      </c>
      <c r="G281" s="8" t="s">
        <v>27</v>
      </c>
      <c r="H281" s="8" t="s">
        <v>23</v>
      </c>
      <c r="I281" s="11" t="s">
        <v>314</v>
      </c>
      <c r="J281" s="8" t="s">
        <v>23</v>
      </c>
      <c r="K281" s="11">
        <v>0</v>
      </c>
      <c r="L281" s="11">
        <v>0</v>
      </c>
      <c r="M281" s="11">
        <v>5</v>
      </c>
    </row>
    <row r="282" spans="1:13" ht="16.5" customHeight="1" x14ac:dyDescent="0.3">
      <c r="A282" s="8">
        <v>3511</v>
      </c>
      <c r="B282" s="8" t="s">
        <v>297</v>
      </c>
      <c r="C282" s="8" t="s">
        <v>18</v>
      </c>
      <c r="D282" s="10">
        <v>45628</v>
      </c>
      <c r="E282" s="8" t="s">
        <v>23</v>
      </c>
      <c r="F282" s="11">
        <v>15</v>
      </c>
      <c r="G282" s="8" t="s">
        <v>20</v>
      </c>
      <c r="H282" s="8" t="s">
        <v>19</v>
      </c>
      <c r="I282" s="11">
        <v>30</v>
      </c>
      <c r="J282" s="8" t="s">
        <v>19</v>
      </c>
      <c r="K282" s="11">
        <v>20</v>
      </c>
      <c r="L282" s="11">
        <v>15</v>
      </c>
      <c r="M282" s="11">
        <v>50</v>
      </c>
    </row>
    <row r="283" spans="1:13" ht="16.5" customHeight="1" x14ac:dyDescent="0.3">
      <c r="A283" s="8">
        <v>3512</v>
      </c>
      <c r="B283" s="8" t="s">
        <v>298</v>
      </c>
      <c r="C283" s="8" t="s">
        <v>26</v>
      </c>
      <c r="D283" s="10">
        <v>45629</v>
      </c>
      <c r="E283" s="8" t="s">
        <v>19</v>
      </c>
      <c r="F283" s="11">
        <v>10</v>
      </c>
      <c r="G283" s="8" t="s">
        <v>24</v>
      </c>
      <c r="H283" s="8" t="s">
        <v>23</v>
      </c>
      <c r="I283" s="11" t="s">
        <v>314</v>
      </c>
      <c r="J283" s="8" t="s">
        <v>19</v>
      </c>
      <c r="K283" s="11">
        <v>20</v>
      </c>
      <c r="L283" s="11">
        <v>15</v>
      </c>
      <c r="M283" s="11">
        <v>15</v>
      </c>
    </row>
    <row r="284" spans="1:13" ht="16.5" customHeight="1" x14ac:dyDescent="0.3">
      <c r="A284" s="8">
        <v>3513</v>
      </c>
      <c r="B284" s="8" t="s">
        <v>299</v>
      </c>
      <c r="C284" s="8" t="s">
        <v>22</v>
      </c>
      <c r="D284" s="10">
        <v>45630</v>
      </c>
      <c r="E284" s="8" t="s">
        <v>23</v>
      </c>
      <c r="F284" s="11">
        <v>5</v>
      </c>
      <c r="G284" s="8" t="s">
        <v>20</v>
      </c>
      <c r="H284" s="8" t="s">
        <v>23</v>
      </c>
      <c r="I284" s="11" t="s">
        <v>314</v>
      </c>
      <c r="J284" s="8" t="s">
        <v>23</v>
      </c>
      <c r="K284" s="11">
        <v>0</v>
      </c>
      <c r="L284" s="11">
        <v>1</v>
      </c>
      <c r="M284" s="11">
        <v>4</v>
      </c>
    </row>
    <row r="285" spans="1:13" ht="16.5" customHeight="1" x14ac:dyDescent="0.3">
      <c r="A285" s="8">
        <v>3514</v>
      </c>
      <c r="B285" s="8" t="s">
        <v>300</v>
      </c>
      <c r="C285" s="8" t="s">
        <v>18</v>
      </c>
      <c r="D285" s="10">
        <v>45631</v>
      </c>
      <c r="E285" s="8" t="s">
        <v>19</v>
      </c>
      <c r="F285" s="11">
        <v>15</v>
      </c>
      <c r="G285" s="8" t="s">
        <v>27</v>
      </c>
      <c r="H285" s="8" t="s">
        <v>19</v>
      </c>
      <c r="I285" s="11">
        <v>30</v>
      </c>
      <c r="J285" s="8" t="s">
        <v>19</v>
      </c>
      <c r="K285" s="11">
        <v>20</v>
      </c>
      <c r="L285" s="11">
        <v>7</v>
      </c>
      <c r="M285" s="11">
        <v>58</v>
      </c>
    </row>
    <row r="286" spans="1:13" ht="16.5" customHeight="1" x14ac:dyDescent="0.3">
      <c r="A286" s="8">
        <v>3515</v>
      </c>
      <c r="B286" s="8" t="s">
        <v>159</v>
      </c>
      <c r="C286" s="8" t="s">
        <v>26</v>
      </c>
      <c r="D286" s="10">
        <v>45632</v>
      </c>
      <c r="E286" s="8" t="s">
        <v>23</v>
      </c>
      <c r="F286" s="11">
        <v>10</v>
      </c>
      <c r="G286" s="8" t="s">
        <v>20</v>
      </c>
      <c r="H286" s="8" t="s">
        <v>23</v>
      </c>
      <c r="I286" s="11" t="s">
        <v>314</v>
      </c>
      <c r="J286" s="8" t="s">
        <v>19</v>
      </c>
      <c r="K286" s="11">
        <v>20</v>
      </c>
      <c r="L286" s="11">
        <v>10</v>
      </c>
      <c r="M286" s="11">
        <v>20</v>
      </c>
    </row>
    <row r="287" spans="1:13" ht="16.5" customHeight="1" x14ac:dyDescent="0.3">
      <c r="A287" s="8">
        <v>3516</v>
      </c>
      <c r="B287" s="8" t="s">
        <v>160</v>
      </c>
      <c r="C287" s="8" t="s">
        <v>22</v>
      </c>
      <c r="D287" s="10">
        <v>45633</v>
      </c>
      <c r="E287" s="8" t="s">
        <v>19</v>
      </c>
      <c r="F287" s="11">
        <v>5</v>
      </c>
      <c r="G287" s="8" t="s">
        <v>24</v>
      </c>
      <c r="H287" s="8" t="s">
        <v>23</v>
      </c>
      <c r="I287" s="11" t="s">
        <v>314</v>
      </c>
      <c r="J287" s="8" t="s">
        <v>23</v>
      </c>
      <c r="K287" s="11">
        <v>0</v>
      </c>
      <c r="L287" s="11">
        <v>0</v>
      </c>
      <c r="M287" s="11">
        <v>5</v>
      </c>
    </row>
    <row r="288" spans="1:13" ht="16.5" customHeight="1" x14ac:dyDescent="0.3">
      <c r="A288" s="8">
        <v>3517</v>
      </c>
      <c r="B288" s="8" t="s">
        <v>210</v>
      </c>
      <c r="C288" s="8" t="s">
        <v>18</v>
      </c>
      <c r="D288" s="10">
        <v>45634</v>
      </c>
      <c r="E288" s="8" t="s">
        <v>23</v>
      </c>
      <c r="F288" s="11">
        <v>15</v>
      </c>
      <c r="G288" s="8" t="s">
        <v>20</v>
      </c>
      <c r="H288" s="8" t="s">
        <v>19</v>
      </c>
      <c r="I288" s="11">
        <v>30</v>
      </c>
      <c r="J288" s="8" t="s">
        <v>19</v>
      </c>
      <c r="K288" s="11">
        <v>20</v>
      </c>
      <c r="L288" s="11">
        <v>20</v>
      </c>
      <c r="M288" s="11">
        <v>45</v>
      </c>
    </row>
    <row r="289" spans="1:13" ht="16.5" customHeight="1" x14ac:dyDescent="0.3">
      <c r="A289" s="8">
        <v>3518</v>
      </c>
      <c r="B289" s="8" t="s">
        <v>301</v>
      </c>
      <c r="C289" s="8" t="s">
        <v>26</v>
      </c>
      <c r="D289" s="10">
        <v>45635</v>
      </c>
      <c r="E289" s="8" t="s">
        <v>19</v>
      </c>
      <c r="F289" s="11">
        <v>10</v>
      </c>
      <c r="G289" s="8" t="s">
        <v>27</v>
      </c>
      <c r="H289" s="8" t="s">
        <v>23</v>
      </c>
      <c r="I289" s="11" t="s">
        <v>314</v>
      </c>
      <c r="J289" s="8" t="s">
        <v>19</v>
      </c>
      <c r="K289" s="11">
        <v>20</v>
      </c>
      <c r="L289" s="11">
        <v>12</v>
      </c>
      <c r="M289" s="11">
        <v>18</v>
      </c>
    </row>
    <row r="290" spans="1:13" ht="16.5" customHeight="1" x14ac:dyDescent="0.3">
      <c r="A290" s="8">
        <v>3519</v>
      </c>
      <c r="B290" s="8" t="s">
        <v>302</v>
      </c>
      <c r="C290" s="8" t="s">
        <v>22</v>
      </c>
      <c r="D290" s="10">
        <v>45636</v>
      </c>
      <c r="E290" s="8" t="s">
        <v>23</v>
      </c>
      <c r="F290" s="11">
        <v>5</v>
      </c>
      <c r="G290" s="8" t="s">
        <v>20</v>
      </c>
      <c r="H290" s="8" t="s">
        <v>23</v>
      </c>
      <c r="I290" s="11" t="s">
        <v>314</v>
      </c>
      <c r="J290" s="8" t="s">
        <v>23</v>
      </c>
      <c r="K290" s="11">
        <v>0</v>
      </c>
      <c r="L290" s="11">
        <v>2</v>
      </c>
      <c r="M290" s="11">
        <v>3</v>
      </c>
    </row>
    <row r="291" spans="1:13" ht="16.5" customHeight="1" x14ac:dyDescent="0.3">
      <c r="A291" s="8">
        <v>3520</v>
      </c>
      <c r="B291" s="8" t="s">
        <v>303</v>
      </c>
      <c r="C291" s="8" t="s">
        <v>18</v>
      </c>
      <c r="D291" s="10">
        <v>45637</v>
      </c>
      <c r="E291" s="8" t="s">
        <v>19</v>
      </c>
      <c r="F291" s="11">
        <v>15</v>
      </c>
      <c r="G291" s="8" t="s">
        <v>24</v>
      </c>
      <c r="H291" s="8" t="s">
        <v>19</v>
      </c>
      <c r="I291" s="11">
        <v>30</v>
      </c>
      <c r="J291" s="8" t="s">
        <v>19</v>
      </c>
      <c r="K291" s="11">
        <v>20</v>
      </c>
      <c r="L291" s="11">
        <v>5</v>
      </c>
      <c r="M291" s="11">
        <v>60</v>
      </c>
    </row>
    <row r="292" spans="1:13" ht="16.5" customHeight="1" x14ac:dyDescent="0.3">
      <c r="A292" s="8">
        <v>3521</v>
      </c>
      <c r="B292" s="8" t="s">
        <v>304</v>
      </c>
      <c r="C292" s="8" t="s">
        <v>26</v>
      </c>
      <c r="D292" s="10">
        <v>45638</v>
      </c>
      <c r="E292" s="8" t="s">
        <v>23</v>
      </c>
      <c r="F292" s="11">
        <v>10</v>
      </c>
      <c r="G292" s="8" t="s">
        <v>20</v>
      </c>
      <c r="H292" s="8" t="s">
        <v>23</v>
      </c>
      <c r="I292" s="11" t="s">
        <v>314</v>
      </c>
      <c r="J292" s="8" t="s">
        <v>19</v>
      </c>
      <c r="K292" s="11">
        <v>20</v>
      </c>
      <c r="L292" s="11">
        <v>10</v>
      </c>
      <c r="M292" s="11">
        <v>20</v>
      </c>
    </row>
    <row r="293" spans="1:13" ht="16.5" customHeight="1" x14ac:dyDescent="0.3">
      <c r="A293" s="8">
        <v>3522</v>
      </c>
      <c r="B293" s="8" t="s">
        <v>305</v>
      </c>
      <c r="C293" s="8" t="s">
        <v>22</v>
      </c>
      <c r="D293" s="10">
        <v>45639</v>
      </c>
      <c r="E293" s="8" t="s">
        <v>19</v>
      </c>
      <c r="F293" s="11">
        <v>5</v>
      </c>
      <c r="G293" s="8" t="s">
        <v>27</v>
      </c>
      <c r="H293" s="8" t="s">
        <v>23</v>
      </c>
      <c r="I293" s="11" t="s">
        <v>314</v>
      </c>
      <c r="J293" s="8" t="s">
        <v>23</v>
      </c>
      <c r="K293" s="11">
        <v>0</v>
      </c>
      <c r="L293" s="11">
        <v>0</v>
      </c>
      <c r="M293" s="11">
        <v>5</v>
      </c>
    </row>
    <row r="294" spans="1:13" ht="16.5" customHeight="1" x14ac:dyDescent="0.3">
      <c r="A294" s="8">
        <v>3523</v>
      </c>
      <c r="B294" s="8" t="s">
        <v>306</v>
      </c>
      <c r="C294" s="8" t="s">
        <v>18</v>
      </c>
      <c r="D294" s="10">
        <v>45640</v>
      </c>
      <c r="E294" s="8" t="s">
        <v>23</v>
      </c>
      <c r="F294" s="11">
        <v>15</v>
      </c>
      <c r="G294" s="8" t="s">
        <v>20</v>
      </c>
      <c r="H294" s="8" t="s">
        <v>19</v>
      </c>
      <c r="I294" s="11">
        <v>30</v>
      </c>
      <c r="J294" s="8" t="s">
        <v>19</v>
      </c>
      <c r="K294" s="11">
        <v>20</v>
      </c>
      <c r="L294" s="11">
        <v>3</v>
      </c>
      <c r="M294" s="11">
        <v>62</v>
      </c>
    </row>
    <row r="295" spans="1:13" ht="16.5" customHeight="1" x14ac:dyDescent="0.3">
      <c r="A295" s="8">
        <v>3524</v>
      </c>
      <c r="B295" s="8" t="s">
        <v>307</v>
      </c>
      <c r="C295" s="8" t="s">
        <v>26</v>
      </c>
      <c r="D295" s="10">
        <v>45641</v>
      </c>
      <c r="E295" s="8" t="s">
        <v>19</v>
      </c>
      <c r="F295" s="11">
        <v>10</v>
      </c>
      <c r="G295" s="8" t="s">
        <v>24</v>
      </c>
      <c r="H295" s="8" t="s">
        <v>23</v>
      </c>
      <c r="I295" s="11" t="s">
        <v>314</v>
      </c>
      <c r="J295" s="8" t="s">
        <v>19</v>
      </c>
      <c r="K295" s="11">
        <v>20</v>
      </c>
      <c r="L295" s="11">
        <v>15</v>
      </c>
      <c r="M295" s="11">
        <v>15</v>
      </c>
    </row>
    <row r="296" spans="1:13" ht="16.5" customHeight="1" x14ac:dyDescent="0.3">
      <c r="A296" s="8">
        <v>3525</v>
      </c>
      <c r="B296" s="8" t="s">
        <v>308</v>
      </c>
      <c r="C296" s="8" t="s">
        <v>22</v>
      </c>
      <c r="D296" s="10">
        <v>45642</v>
      </c>
      <c r="E296" s="8" t="s">
        <v>23</v>
      </c>
      <c r="F296" s="11">
        <v>5</v>
      </c>
      <c r="G296" s="8" t="s">
        <v>20</v>
      </c>
      <c r="H296" s="8" t="s">
        <v>23</v>
      </c>
      <c r="I296" s="11" t="s">
        <v>314</v>
      </c>
      <c r="J296" s="8" t="s">
        <v>23</v>
      </c>
      <c r="K296" s="11">
        <v>0</v>
      </c>
      <c r="L296" s="11">
        <v>1</v>
      </c>
      <c r="M296" s="11">
        <v>4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79518-957B-4D6A-A3ED-CC74AA9E1C81}">
  <sheetPr codeName="Planilha3"/>
  <dimension ref="B3:F77"/>
  <sheetViews>
    <sheetView showGridLines="0" workbookViewId="0">
      <selection activeCell="J39" sqref="J39"/>
    </sheetView>
  </sheetViews>
  <sheetFormatPr defaultRowHeight="14.4" x14ac:dyDescent="0.3"/>
  <cols>
    <col min="2" max="2" width="17.88671875" bestFit="1" customWidth="1"/>
    <col min="3" max="3" width="18.109375" bestFit="1" customWidth="1"/>
    <col min="4" max="6" width="11.88671875" bestFit="1" customWidth="1"/>
    <col min="7" max="7" width="27.6640625" bestFit="1" customWidth="1"/>
    <col min="8" max="8" width="5.44140625" customWidth="1"/>
    <col min="9" max="9" width="21.109375" bestFit="1" customWidth="1"/>
    <col min="10" max="11" width="35.109375" bestFit="1" customWidth="1"/>
    <col min="12" max="15" width="9.6640625" bestFit="1" customWidth="1"/>
    <col min="16" max="16" width="15.5546875" bestFit="1" customWidth="1"/>
    <col min="17" max="17" width="12.109375" bestFit="1" customWidth="1"/>
  </cols>
  <sheetData>
    <row r="3" spans="2:6" x14ac:dyDescent="0.3">
      <c r="B3" s="19" t="s">
        <v>317</v>
      </c>
      <c r="C3" s="19"/>
      <c r="D3" s="19"/>
      <c r="E3" s="19"/>
      <c r="F3" s="19"/>
    </row>
    <row r="6" spans="2:6" x14ac:dyDescent="0.3">
      <c r="B6" t="s">
        <v>318</v>
      </c>
    </row>
    <row r="7" spans="2:6" x14ac:dyDescent="0.3">
      <c r="B7" t="s">
        <v>320</v>
      </c>
    </row>
    <row r="9" spans="2:6" x14ac:dyDescent="0.3">
      <c r="B9" s="12" t="s">
        <v>16</v>
      </c>
      <c r="C9" t="s">
        <v>342</v>
      </c>
    </row>
    <row r="11" spans="2:6" x14ac:dyDescent="0.3">
      <c r="B11" s="12" t="s">
        <v>309</v>
      </c>
      <c r="C11" t="s">
        <v>319</v>
      </c>
    </row>
    <row r="12" spans="2:6" x14ac:dyDescent="0.3">
      <c r="B12" s="14" t="s">
        <v>23</v>
      </c>
      <c r="C12" s="13">
        <v>3847</v>
      </c>
    </row>
    <row r="13" spans="2:6" x14ac:dyDescent="0.3">
      <c r="B13" s="14" t="s">
        <v>19</v>
      </c>
      <c r="C13" s="13">
        <v>3786</v>
      </c>
    </row>
    <row r="14" spans="2:6" x14ac:dyDescent="0.3">
      <c r="B14" s="14" t="s">
        <v>310</v>
      </c>
      <c r="C14" s="13">
        <v>7633</v>
      </c>
    </row>
    <row r="17" spans="2:5" x14ac:dyDescent="0.3">
      <c r="B17" s="14" t="s">
        <v>321</v>
      </c>
    </row>
    <row r="19" spans="2:5" x14ac:dyDescent="0.3">
      <c r="B19" s="12" t="s">
        <v>16</v>
      </c>
      <c r="C19" t="s">
        <v>342</v>
      </c>
    </row>
    <row r="21" spans="2:5" x14ac:dyDescent="0.3">
      <c r="B21" s="12" t="s">
        <v>309</v>
      </c>
      <c r="C21" t="s">
        <v>316</v>
      </c>
    </row>
    <row r="22" spans="2:5" x14ac:dyDescent="0.3">
      <c r="B22" s="14" t="s">
        <v>22</v>
      </c>
      <c r="C22" s="20">
        <v>0</v>
      </c>
    </row>
    <row r="23" spans="2:5" x14ac:dyDescent="0.3">
      <c r="B23" s="14" t="s">
        <v>26</v>
      </c>
      <c r="C23" s="20">
        <v>0</v>
      </c>
    </row>
    <row r="24" spans="2:5" x14ac:dyDescent="0.3">
      <c r="B24" s="14" t="s">
        <v>18</v>
      </c>
      <c r="C24" s="20">
        <v>2940</v>
      </c>
    </row>
    <row r="25" spans="2:5" x14ac:dyDescent="0.3">
      <c r="B25" s="14" t="s">
        <v>310</v>
      </c>
      <c r="C25" s="20">
        <v>2940</v>
      </c>
      <c r="E25" s="16">
        <f>GETPIVOTDATA("EA Play Season Pass
Price",$B$21)</f>
        <v>2940</v>
      </c>
    </row>
    <row r="28" spans="2:5" x14ac:dyDescent="0.3">
      <c r="B28" s="14" t="s">
        <v>322</v>
      </c>
    </row>
    <row r="30" spans="2:5" x14ac:dyDescent="0.3">
      <c r="B30" s="12" t="s">
        <v>16</v>
      </c>
      <c r="C30" t="s">
        <v>342</v>
      </c>
    </row>
    <row r="32" spans="2:5" x14ac:dyDescent="0.3">
      <c r="B32" s="12" t="s">
        <v>309</v>
      </c>
      <c r="C32" t="s">
        <v>311</v>
      </c>
    </row>
    <row r="33" spans="2:5" x14ac:dyDescent="0.3">
      <c r="B33" s="14" t="s">
        <v>22</v>
      </c>
      <c r="C33" s="13">
        <v>0</v>
      </c>
    </row>
    <row r="34" spans="2:5" x14ac:dyDescent="0.3">
      <c r="B34" s="14" t="s">
        <v>26</v>
      </c>
      <c r="C34" s="13">
        <v>1920</v>
      </c>
    </row>
    <row r="35" spans="2:5" x14ac:dyDescent="0.3">
      <c r="B35" s="14" t="s">
        <v>18</v>
      </c>
      <c r="C35" s="13">
        <v>1960</v>
      </c>
    </row>
    <row r="36" spans="2:5" x14ac:dyDescent="0.3">
      <c r="B36" s="14" t="s">
        <v>310</v>
      </c>
      <c r="C36" s="13">
        <v>3880</v>
      </c>
      <c r="E36" s="16">
        <f>GETPIVOTDATA("Minecraft Season Pass Price",$B$32)</f>
        <v>3880</v>
      </c>
    </row>
    <row r="39" spans="2:5" x14ac:dyDescent="0.3">
      <c r="B39" s="14" t="s">
        <v>324</v>
      </c>
    </row>
    <row r="41" spans="2:5" x14ac:dyDescent="0.3">
      <c r="B41" s="12" t="s">
        <v>16</v>
      </c>
      <c r="C41" t="s">
        <v>342</v>
      </c>
    </row>
    <row r="43" spans="2:5" x14ac:dyDescent="0.3">
      <c r="B43" s="12" t="s">
        <v>309</v>
      </c>
      <c r="C43" t="s">
        <v>325</v>
      </c>
    </row>
    <row r="44" spans="2:5" x14ac:dyDescent="0.3">
      <c r="B44" s="14" t="s">
        <v>22</v>
      </c>
      <c r="C44" s="20">
        <v>101</v>
      </c>
    </row>
    <row r="45" spans="2:5" x14ac:dyDescent="0.3">
      <c r="B45" s="14" t="s">
        <v>26</v>
      </c>
      <c r="C45" s="20">
        <v>96</v>
      </c>
    </row>
    <row r="46" spans="2:5" x14ac:dyDescent="0.3">
      <c r="B46" s="14" t="s">
        <v>18</v>
      </c>
      <c r="C46" s="20">
        <v>98</v>
      </c>
    </row>
    <row r="47" spans="2:5" x14ac:dyDescent="0.3">
      <c r="B47" s="14" t="s">
        <v>310</v>
      </c>
      <c r="C47" s="20">
        <v>295</v>
      </c>
    </row>
    <row r="50" spans="2:6" x14ac:dyDescent="0.3">
      <c r="B50" s="14" t="s">
        <v>326</v>
      </c>
    </row>
    <row r="51" spans="2:6" x14ac:dyDescent="0.3">
      <c r="B51" s="12" t="s">
        <v>309</v>
      </c>
      <c r="C51" t="s">
        <v>325</v>
      </c>
    </row>
    <row r="52" spans="2:6" x14ac:dyDescent="0.3">
      <c r="B52" s="14" t="s">
        <v>23</v>
      </c>
      <c r="C52" s="20">
        <v>147</v>
      </c>
    </row>
    <row r="53" spans="2:6" x14ac:dyDescent="0.3">
      <c r="B53" s="14" t="s">
        <v>19</v>
      </c>
      <c r="C53" s="20">
        <v>148</v>
      </c>
    </row>
    <row r="54" spans="2:6" x14ac:dyDescent="0.3">
      <c r="B54" s="14" t="s">
        <v>310</v>
      </c>
      <c r="C54" s="20">
        <v>295</v>
      </c>
    </row>
    <row r="57" spans="2:6" x14ac:dyDescent="0.3">
      <c r="B57" s="14" t="s">
        <v>327</v>
      </c>
    </row>
    <row r="58" spans="2:6" x14ac:dyDescent="0.3">
      <c r="B58" t="s">
        <v>319</v>
      </c>
    </row>
    <row r="59" spans="2:6" x14ac:dyDescent="0.3">
      <c r="B59" s="13">
        <v>7633</v>
      </c>
    </row>
    <row r="62" spans="2:6" x14ac:dyDescent="0.3">
      <c r="B62" s="14" t="s">
        <v>328</v>
      </c>
    </row>
    <row r="63" spans="2:6" x14ac:dyDescent="0.3">
      <c r="B63" s="12" t="s">
        <v>319</v>
      </c>
      <c r="C63" s="12" t="s">
        <v>340</v>
      </c>
    </row>
    <row r="64" spans="2:6" x14ac:dyDescent="0.3">
      <c r="B64" s="12" t="s">
        <v>309</v>
      </c>
      <c r="C64" t="s">
        <v>22</v>
      </c>
      <c r="D64" t="s">
        <v>26</v>
      </c>
      <c r="E64" t="s">
        <v>18</v>
      </c>
      <c r="F64" t="s">
        <v>310</v>
      </c>
    </row>
    <row r="65" spans="2:6" x14ac:dyDescent="0.3">
      <c r="B65" s="14" t="s">
        <v>329</v>
      </c>
      <c r="C65" s="13">
        <v>5</v>
      </c>
      <c r="D65" s="13"/>
      <c r="E65" s="13">
        <v>60</v>
      </c>
      <c r="F65" s="13">
        <v>65</v>
      </c>
    </row>
    <row r="66" spans="2:6" x14ac:dyDescent="0.3">
      <c r="B66" s="14" t="s">
        <v>341</v>
      </c>
      <c r="C66" s="13"/>
      <c r="D66" s="13">
        <v>20</v>
      </c>
      <c r="E66" s="13">
        <v>62</v>
      </c>
      <c r="F66" s="13">
        <v>82</v>
      </c>
    </row>
    <row r="67" spans="2:6" x14ac:dyDescent="0.3">
      <c r="B67" s="14" t="s">
        <v>330</v>
      </c>
      <c r="C67" s="13">
        <v>48</v>
      </c>
      <c r="D67" s="13">
        <v>191</v>
      </c>
      <c r="E67" s="13">
        <v>562</v>
      </c>
      <c r="F67" s="13">
        <v>801</v>
      </c>
    </row>
    <row r="68" spans="2:6" x14ac:dyDescent="0.3">
      <c r="B68" s="14" t="s">
        <v>331</v>
      </c>
      <c r="C68" s="13">
        <v>44</v>
      </c>
      <c r="D68" s="13">
        <v>193</v>
      </c>
      <c r="E68" s="13">
        <v>545</v>
      </c>
      <c r="F68" s="13">
        <v>782</v>
      </c>
    </row>
    <row r="69" spans="2:6" x14ac:dyDescent="0.3">
      <c r="B69" s="14" t="s">
        <v>332</v>
      </c>
      <c r="C69" s="13">
        <v>49</v>
      </c>
      <c r="D69" s="13">
        <v>183</v>
      </c>
      <c r="E69" s="13">
        <v>545</v>
      </c>
      <c r="F69" s="13">
        <v>777</v>
      </c>
    </row>
    <row r="70" spans="2:6" x14ac:dyDescent="0.3">
      <c r="B70" s="14" t="s">
        <v>333</v>
      </c>
      <c r="C70" s="13">
        <v>43</v>
      </c>
      <c r="D70" s="13">
        <v>196</v>
      </c>
      <c r="E70" s="13">
        <v>531</v>
      </c>
      <c r="F70" s="13">
        <v>770</v>
      </c>
    </row>
    <row r="71" spans="2:6" x14ac:dyDescent="0.3">
      <c r="B71" s="14" t="s">
        <v>334</v>
      </c>
      <c r="C71" s="13">
        <v>48</v>
      </c>
      <c r="D71" s="13">
        <v>188</v>
      </c>
      <c r="E71" s="13">
        <v>548</v>
      </c>
      <c r="F71" s="13">
        <v>784</v>
      </c>
    </row>
    <row r="72" spans="2:6" x14ac:dyDescent="0.3">
      <c r="B72" s="14" t="s">
        <v>335</v>
      </c>
      <c r="C72" s="13">
        <v>49</v>
      </c>
      <c r="D72" s="13">
        <v>188</v>
      </c>
      <c r="E72" s="13">
        <v>550</v>
      </c>
      <c r="F72" s="13">
        <v>787</v>
      </c>
    </row>
    <row r="73" spans="2:6" x14ac:dyDescent="0.3">
      <c r="B73" s="14" t="s">
        <v>336</v>
      </c>
      <c r="C73" s="13">
        <v>44</v>
      </c>
      <c r="D73" s="13">
        <v>188</v>
      </c>
      <c r="E73" s="13">
        <v>548</v>
      </c>
      <c r="F73" s="13">
        <v>780</v>
      </c>
    </row>
    <row r="74" spans="2:6" x14ac:dyDescent="0.3">
      <c r="B74" s="14" t="s">
        <v>337</v>
      </c>
      <c r="C74" s="13">
        <v>44</v>
      </c>
      <c r="D74" s="13">
        <v>178</v>
      </c>
      <c r="E74" s="13">
        <v>610</v>
      </c>
      <c r="F74" s="13">
        <v>832</v>
      </c>
    </row>
    <row r="75" spans="2:6" x14ac:dyDescent="0.3">
      <c r="B75" s="14" t="s">
        <v>338</v>
      </c>
      <c r="C75" s="13">
        <v>44</v>
      </c>
      <c r="D75" s="13">
        <v>188</v>
      </c>
      <c r="E75" s="13">
        <v>552</v>
      </c>
      <c r="F75" s="13">
        <v>784</v>
      </c>
    </row>
    <row r="76" spans="2:6" x14ac:dyDescent="0.3">
      <c r="B76" s="14" t="s">
        <v>339</v>
      </c>
      <c r="C76" s="13">
        <v>26</v>
      </c>
      <c r="D76" s="13">
        <v>88</v>
      </c>
      <c r="E76" s="13">
        <v>275</v>
      </c>
      <c r="F76" s="13">
        <v>389</v>
      </c>
    </row>
    <row r="77" spans="2:6" x14ac:dyDescent="0.3">
      <c r="B77" s="14" t="s">
        <v>310</v>
      </c>
      <c r="C77" s="13">
        <v>444</v>
      </c>
      <c r="D77" s="13">
        <v>1801</v>
      </c>
      <c r="E77" s="13">
        <v>5388</v>
      </c>
      <c r="F77" s="13">
        <v>7633</v>
      </c>
    </row>
  </sheetData>
  <mergeCells count="1">
    <mergeCell ref="B3:F3"/>
  </mergeCells>
  <pageMargins left="0.511811024" right="0.511811024" top="0.78740157499999996" bottom="0.78740157499999996" header="0.31496062000000002" footer="0.31496062000000002"/>
  <drawing r:id="rId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F14EF-C0B7-459D-9E09-3130BA4314A6}">
  <sheetPr codeName="Planilha4"/>
  <dimension ref="A2:W135"/>
  <sheetViews>
    <sheetView showGridLines="0" tabSelected="1" zoomScaleNormal="100" workbookViewId="0">
      <selection activeCell="J33" sqref="I33:J33"/>
    </sheetView>
  </sheetViews>
  <sheetFormatPr defaultRowHeight="14.4" x14ac:dyDescent="0.3"/>
  <cols>
    <col min="1" max="1" width="27.44140625" style="4" customWidth="1"/>
    <col min="2" max="2" width="3.5546875" customWidth="1"/>
    <col min="12" max="12" width="6.5546875" customWidth="1"/>
  </cols>
  <sheetData>
    <row r="2" spans="1:23" ht="27.75" customHeight="1" thickBot="1" x14ac:dyDescent="0.6">
      <c r="C2" s="18" t="s">
        <v>323</v>
      </c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7"/>
      <c r="S2" s="17"/>
      <c r="T2" s="17"/>
      <c r="U2" s="17"/>
      <c r="V2" s="17"/>
      <c r="W2" s="17"/>
    </row>
    <row r="3" spans="1:23" ht="19.5" customHeight="1" thickTop="1" x14ac:dyDescent="0.3"/>
    <row r="4" spans="1:23" s="7" customFormat="1" ht="8.25" customHeight="1" x14ac:dyDescent="0.3">
      <c r="A4" s="4"/>
    </row>
    <row r="5" spans="1:23" s="7" customFormat="1" ht="7.5" customHeight="1" x14ac:dyDescent="0.3">
      <c r="A5" s="4"/>
    </row>
    <row r="6" spans="1:23" s="7" customFormat="1" ht="10.5" customHeight="1" x14ac:dyDescent="0.3">
      <c r="A6" s="4"/>
    </row>
    <row r="7" spans="1:23" s="7" customFormat="1" ht="9.75" customHeight="1" x14ac:dyDescent="0.3">
      <c r="A7" s="4"/>
    </row>
    <row r="8" spans="1:23" s="7" customFormat="1" ht="11.25" customHeight="1" x14ac:dyDescent="0.3">
      <c r="A8" s="4"/>
    </row>
    <row r="9" spans="1:23" s="7" customFormat="1" x14ac:dyDescent="0.3">
      <c r="A9" s="4"/>
    </row>
    <row r="10" spans="1:23" s="7" customFormat="1" x14ac:dyDescent="0.3">
      <c r="A10" s="4"/>
    </row>
    <row r="11" spans="1:23" s="7" customFormat="1" ht="14.25" customHeight="1" x14ac:dyDescent="0.3">
      <c r="A11" s="4"/>
    </row>
    <row r="12" spans="1:23" s="7" customFormat="1" x14ac:dyDescent="0.3">
      <c r="A12" s="4"/>
    </row>
    <row r="13" spans="1:23" s="7" customFormat="1" x14ac:dyDescent="0.3">
      <c r="A13" s="4"/>
    </row>
    <row r="14" spans="1:23" s="7" customFormat="1" x14ac:dyDescent="0.3">
      <c r="A14" s="4"/>
    </row>
    <row r="15" spans="1:23" s="7" customFormat="1" x14ac:dyDescent="0.3">
      <c r="A15" s="4"/>
    </row>
    <row r="16" spans="1:23" s="7" customFormat="1" x14ac:dyDescent="0.3">
      <c r="A16" s="4"/>
    </row>
    <row r="17" spans="1:1" s="7" customFormat="1" x14ac:dyDescent="0.3">
      <c r="A17" s="4"/>
    </row>
    <row r="18" spans="1:1" s="7" customFormat="1" x14ac:dyDescent="0.3">
      <c r="A18" s="4"/>
    </row>
    <row r="19" spans="1:1" s="7" customFormat="1" x14ac:dyDescent="0.3">
      <c r="A19" s="4"/>
    </row>
    <row r="20" spans="1:1" s="7" customFormat="1" x14ac:dyDescent="0.3">
      <c r="A20" s="4"/>
    </row>
    <row r="21" spans="1:1" s="7" customFormat="1" x14ac:dyDescent="0.3">
      <c r="A21" s="4"/>
    </row>
    <row r="22" spans="1:1" s="7" customFormat="1" x14ac:dyDescent="0.3">
      <c r="A22" s="4"/>
    </row>
    <row r="23" spans="1:1" s="7" customFormat="1" x14ac:dyDescent="0.3">
      <c r="A23" s="4"/>
    </row>
    <row r="24" spans="1:1" s="7" customFormat="1" x14ac:dyDescent="0.3">
      <c r="A24" s="4"/>
    </row>
    <row r="25" spans="1:1" s="7" customFormat="1" x14ac:dyDescent="0.3">
      <c r="A25" s="4"/>
    </row>
    <row r="26" spans="1:1" s="7" customFormat="1" x14ac:dyDescent="0.3">
      <c r="A26" s="4"/>
    </row>
    <row r="27" spans="1:1" s="7" customFormat="1" x14ac:dyDescent="0.3">
      <c r="A27" s="4"/>
    </row>
    <row r="28" spans="1:1" s="7" customFormat="1" x14ac:dyDescent="0.3">
      <c r="A28" s="4"/>
    </row>
    <row r="29" spans="1:1" s="7" customFormat="1" x14ac:dyDescent="0.3">
      <c r="A29" s="4"/>
    </row>
    <row r="30" spans="1:1" s="7" customFormat="1" x14ac:dyDescent="0.3">
      <c r="A30" s="4"/>
    </row>
    <row r="31" spans="1:1" s="7" customFormat="1" x14ac:dyDescent="0.3">
      <c r="A31" s="4"/>
    </row>
    <row r="32" spans="1:1" s="7" customFormat="1" x14ac:dyDescent="0.3">
      <c r="A32" s="4"/>
    </row>
    <row r="33" spans="1:1" s="7" customFormat="1" x14ac:dyDescent="0.3">
      <c r="A33" s="4"/>
    </row>
    <row r="34" spans="1:1" s="7" customFormat="1" x14ac:dyDescent="0.3">
      <c r="A34" s="4"/>
    </row>
    <row r="35" spans="1:1" s="7" customFormat="1" x14ac:dyDescent="0.3">
      <c r="A35" s="4"/>
    </row>
    <row r="36" spans="1:1" s="7" customFormat="1" x14ac:dyDescent="0.3">
      <c r="A36" s="4"/>
    </row>
    <row r="37" spans="1:1" s="7" customFormat="1" x14ac:dyDescent="0.3">
      <c r="A37" s="4"/>
    </row>
    <row r="38" spans="1:1" s="7" customFormat="1" x14ac:dyDescent="0.3">
      <c r="A38" s="4"/>
    </row>
    <row r="39" spans="1:1" s="7" customFormat="1" ht="33" customHeight="1" x14ac:dyDescent="0.3">
      <c r="A39" s="4"/>
    </row>
    <row r="40" spans="1:1" s="7" customFormat="1" x14ac:dyDescent="0.3">
      <c r="A40" s="4"/>
    </row>
    <row r="41" spans="1:1" s="7" customFormat="1" x14ac:dyDescent="0.3">
      <c r="A41" s="4"/>
    </row>
    <row r="42" spans="1:1" s="7" customFormat="1" x14ac:dyDescent="0.3">
      <c r="A42" s="4"/>
    </row>
    <row r="43" spans="1:1" s="7" customFormat="1" x14ac:dyDescent="0.3">
      <c r="A43" s="4"/>
    </row>
    <row r="44" spans="1:1" s="7" customFormat="1" x14ac:dyDescent="0.3">
      <c r="A44" s="4"/>
    </row>
    <row r="45" spans="1:1" s="7" customFormat="1" x14ac:dyDescent="0.3">
      <c r="A45" s="4"/>
    </row>
    <row r="46" spans="1:1" s="7" customFormat="1" x14ac:dyDescent="0.3">
      <c r="A46" s="4"/>
    </row>
    <row r="47" spans="1:1" s="7" customFormat="1" x14ac:dyDescent="0.3">
      <c r="A47" s="4"/>
    </row>
    <row r="48" spans="1:1" s="7" customFormat="1" x14ac:dyDescent="0.3">
      <c r="A48" s="4"/>
    </row>
    <row r="49" spans="1:1" s="7" customFormat="1" x14ac:dyDescent="0.3">
      <c r="A49" s="4"/>
    </row>
    <row r="50" spans="1:1" s="7" customFormat="1" x14ac:dyDescent="0.3">
      <c r="A50" s="4"/>
    </row>
    <row r="51" spans="1:1" s="7" customFormat="1" x14ac:dyDescent="0.3">
      <c r="A51" s="4"/>
    </row>
    <row r="52" spans="1:1" s="7" customFormat="1" x14ac:dyDescent="0.3">
      <c r="A52" s="4"/>
    </row>
    <row r="53" spans="1:1" s="7" customFormat="1" x14ac:dyDescent="0.3">
      <c r="A53" s="4"/>
    </row>
    <row r="54" spans="1:1" s="7" customFormat="1" x14ac:dyDescent="0.3">
      <c r="A54" s="4"/>
    </row>
    <row r="55" spans="1:1" s="7" customFormat="1" x14ac:dyDescent="0.3">
      <c r="A55" s="4"/>
    </row>
    <row r="56" spans="1:1" s="7" customFormat="1" x14ac:dyDescent="0.3">
      <c r="A56" s="4"/>
    </row>
    <row r="57" spans="1:1" s="7" customFormat="1" x14ac:dyDescent="0.3">
      <c r="A57" s="4"/>
    </row>
    <row r="58" spans="1:1" s="7" customFormat="1" x14ac:dyDescent="0.3">
      <c r="A58" s="4"/>
    </row>
    <row r="59" spans="1:1" s="7" customFormat="1" x14ac:dyDescent="0.3">
      <c r="A59" s="4"/>
    </row>
    <row r="60" spans="1:1" s="7" customFormat="1" x14ac:dyDescent="0.3">
      <c r="A60" s="4"/>
    </row>
    <row r="61" spans="1:1" s="7" customFormat="1" x14ac:dyDescent="0.3">
      <c r="A61" s="4"/>
    </row>
    <row r="62" spans="1:1" s="7" customFormat="1" x14ac:dyDescent="0.3">
      <c r="A62" s="4"/>
    </row>
    <row r="63" spans="1:1" s="7" customFormat="1" x14ac:dyDescent="0.3">
      <c r="A63" s="4"/>
    </row>
    <row r="64" spans="1:1" s="7" customFormat="1" x14ac:dyDescent="0.3">
      <c r="A64" s="4"/>
    </row>
    <row r="65" spans="1:1" s="7" customFormat="1" x14ac:dyDescent="0.3">
      <c r="A65" s="4"/>
    </row>
    <row r="66" spans="1:1" s="7" customFormat="1" x14ac:dyDescent="0.3">
      <c r="A66" s="4"/>
    </row>
    <row r="67" spans="1:1" s="7" customFormat="1" x14ac:dyDescent="0.3">
      <c r="A67" s="4"/>
    </row>
    <row r="68" spans="1:1" s="7" customFormat="1" x14ac:dyDescent="0.3">
      <c r="A68" s="4"/>
    </row>
    <row r="69" spans="1:1" s="7" customFormat="1" x14ac:dyDescent="0.3">
      <c r="A69" s="4"/>
    </row>
    <row r="70" spans="1:1" s="7" customFormat="1" x14ac:dyDescent="0.3">
      <c r="A70" s="4"/>
    </row>
    <row r="71" spans="1:1" s="7" customFormat="1" x14ac:dyDescent="0.3">
      <c r="A71" s="4"/>
    </row>
    <row r="72" spans="1:1" s="7" customFormat="1" x14ac:dyDescent="0.3">
      <c r="A72" s="4"/>
    </row>
    <row r="73" spans="1:1" s="7" customFormat="1" x14ac:dyDescent="0.3">
      <c r="A73" s="4"/>
    </row>
    <row r="74" spans="1:1" s="7" customFormat="1" x14ac:dyDescent="0.3">
      <c r="A74" s="4"/>
    </row>
    <row r="75" spans="1:1" s="7" customFormat="1" x14ac:dyDescent="0.3">
      <c r="A75" s="4"/>
    </row>
    <row r="76" spans="1:1" s="7" customFormat="1" x14ac:dyDescent="0.3">
      <c r="A76" s="4"/>
    </row>
    <row r="77" spans="1:1" s="7" customFormat="1" x14ac:dyDescent="0.3">
      <c r="A77" s="4"/>
    </row>
    <row r="78" spans="1:1" s="7" customFormat="1" x14ac:dyDescent="0.3">
      <c r="A78" s="4"/>
    </row>
    <row r="79" spans="1:1" s="7" customFormat="1" x14ac:dyDescent="0.3">
      <c r="A79" s="4"/>
    </row>
    <row r="80" spans="1:1" s="7" customFormat="1" x14ac:dyDescent="0.3">
      <c r="A80" s="4"/>
    </row>
    <row r="81" spans="1:1" s="7" customFormat="1" x14ac:dyDescent="0.3">
      <c r="A81" s="4"/>
    </row>
    <row r="82" spans="1:1" s="7" customFormat="1" x14ac:dyDescent="0.3">
      <c r="A82" s="4"/>
    </row>
    <row r="83" spans="1:1" s="7" customFormat="1" x14ac:dyDescent="0.3">
      <c r="A83" s="4"/>
    </row>
    <row r="84" spans="1:1" s="7" customFormat="1" x14ac:dyDescent="0.3">
      <c r="A84" s="4"/>
    </row>
    <row r="85" spans="1:1" s="7" customFormat="1" x14ac:dyDescent="0.3">
      <c r="A85" s="4"/>
    </row>
    <row r="86" spans="1:1" s="7" customFormat="1" x14ac:dyDescent="0.3">
      <c r="A86" s="4"/>
    </row>
    <row r="87" spans="1:1" s="7" customFormat="1" x14ac:dyDescent="0.3">
      <c r="A87" s="4"/>
    </row>
    <row r="88" spans="1:1" s="7" customFormat="1" x14ac:dyDescent="0.3">
      <c r="A88" s="4"/>
    </row>
    <row r="89" spans="1:1" s="7" customFormat="1" x14ac:dyDescent="0.3">
      <c r="A89" s="4"/>
    </row>
    <row r="90" spans="1:1" s="7" customFormat="1" x14ac:dyDescent="0.3">
      <c r="A90" s="4"/>
    </row>
    <row r="91" spans="1:1" s="7" customFormat="1" x14ac:dyDescent="0.3">
      <c r="A91" s="4"/>
    </row>
    <row r="92" spans="1:1" s="7" customFormat="1" x14ac:dyDescent="0.3">
      <c r="A92" s="4"/>
    </row>
    <row r="93" spans="1:1" s="7" customFormat="1" x14ac:dyDescent="0.3">
      <c r="A93" s="4"/>
    </row>
    <row r="94" spans="1:1" s="7" customFormat="1" x14ac:dyDescent="0.3">
      <c r="A94" s="4"/>
    </row>
    <row r="95" spans="1:1" s="7" customFormat="1" x14ac:dyDescent="0.3">
      <c r="A95" s="4"/>
    </row>
    <row r="96" spans="1:1" s="7" customFormat="1" x14ac:dyDescent="0.3">
      <c r="A96" s="4"/>
    </row>
    <row r="97" spans="1:1" s="7" customFormat="1" x14ac:dyDescent="0.3">
      <c r="A97" s="4"/>
    </row>
    <row r="98" spans="1:1" s="7" customFormat="1" x14ac:dyDescent="0.3">
      <c r="A98" s="4"/>
    </row>
    <row r="99" spans="1:1" s="7" customFormat="1" x14ac:dyDescent="0.3">
      <c r="A99" s="4"/>
    </row>
    <row r="100" spans="1:1" s="7" customFormat="1" x14ac:dyDescent="0.3">
      <c r="A100" s="4"/>
    </row>
    <row r="101" spans="1:1" s="7" customFormat="1" x14ac:dyDescent="0.3">
      <c r="A101" s="4"/>
    </row>
    <row r="102" spans="1:1" s="7" customFormat="1" x14ac:dyDescent="0.3">
      <c r="A102" s="4"/>
    </row>
    <row r="103" spans="1:1" s="7" customFormat="1" x14ac:dyDescent="0.3">
      <c r="A103" s="4"/>
    </row>
    <row r="104" spans="1:1" s="7" customFormat="1" x14ac:dyDescent="0.3">
      <c r="A104" s="4"/>
    </row>
    <row r="105" spans="1:1" s="7" customFormat="1" x14ac:dyDescent="0.3">
      <c r="A105" s="4"/>
    </row>
    <row r="106" spans="1:1" s="7" customFormat="1" x14ac:dyDescent="0.3">
      <c r="A106" s="4"/>
    </row>
    <row r="107" spans="1:1" s="7" customFormat="1" x14ac:dyDescent="0.3">
      <c r="A107" s="4"/>
    </row>
    <row r="108" spans="1:1" s="7" customFormat="1" x14ac:dyDescent="0.3">
      <c r="A108" s="4"/>
    </row>
    <row r="109" spans="1:1" s="7" customFormat="1" x14ac:dyDescent="0.3">
      <c r="A109" s="4"/>
    </row>
    <row r="110" spans="1:1" s="7" customFormat="1" x14ac:dyDescent="0.3">
      <c r="A110" s="4"/>
    </row>
    <row r="111" spans="1:1" s="7" customFormat="1" x14ac:dyDescent="0.3">
      <c r="A111" s="4"/>
    </row>
    <row r="112" spans="1:1" s="7" customFormat="1" x14ac:dyDescent="0.3">
      <c r="A112" s="4"/>
    </row>
    <row r="113" spans="1:1" s="7" customFormat="1" x14ac:dyDescent="0.3">
      <c r="A113" s="4"/>
    </row>
    <row r="114" spans="1:1" s="7" customFormat="1" x14ac:dyDescent="0.3">
      <c r="A114" s="4"/>
    </row>
    <row r="115" spans="1:1" s="7" customFormat="1" x14ac:dyDescent="0.3">
      <c r="A115" s="4"/>
    </row>
    <row r="116" spans="1:1" s="7" customFormat="1" x14ac:dyDescent="0.3">
      <c r="A116" s="4"/>
    </row>
    <row r="117" spans="1:1" s="7" customFormat="1" x14ac:dyDescent="0.3">
      <c r="A117" s="4"/>
    </row>
    <row r="118" spans="1:1" s="7" customFormat="1" x14ac:dyDescent="0.3">
      <c r="A118" s="4"/>
    </row>
    <row r="119" spans="1:1" s="7" customFormat="1" x14ac:dyDescent="0.3">
      <c r="A119" s="4"/>
    </row>
    <row r="120" spans="1:1" s="7" customFormat="1" x14ac:dyDescent="0.3">
      <c r="A120" s="4"/>
    </row>
    <row r="121" spans="1:1" s="7" customFormat="1" x14ac:dyDescent="0.3">
      <c r="A121" s="4"/>
    </row>
    <row r="122" spans="1:1" s="7" customFormat="1" x14ac:dyDescent="0.3">
      <c r="A122" s="4"/>
    </row>
    <row r="123" spans="1:1" s="7" customFormat="1" x14ac:dyDescent="0.3">
      <c r="A123" s="4"/>
    </row>
    <row r="124" spans="1:1" s="7" customFormat="1" x14ac:dyDescent="0.3">
      <c r="A124" s="4"/>
    </row>
    <row r="125" spans="1:1" s="7" customFormat="1" x14ac:dyDescent="0.3">
      <c r="A125" s="4"/>
    </row>
    <row r="126" spans="1:1" s="7" customFormat="1" x14ac:dyDescent="0.3">
      <c r="A126" s="4"/>
    </row>
    <row r="127" spans="1:1" s="7" customFormat="1" x14ac:dyDescent="0.3">
      <c r="A127" s="4"/>
    </row>
    <row r="128" spans="1:1" s="7" customFormat="1" x14ac:dyDescent="0.3">
      <c r="A128" s="4"/>
    </row>
    <row r="129" spans="1:1" s="7" customFormat="1" x14ac:dyDescent="0.3">
      <c r="A129" s="4"/>
    </row>
    <row r="130" spans="1:1" s="7" customFormat="1" x14ac:dyDescent="0.3">
      <c r="A130" s="4"/>
    </row>
    <row r="131" spans="1:1" s="7" customFormat="1" x14ac:dyDescent="0.3">
      <c r="A131" s="4"/>
    </row>
    <row r="132" spans="1:1" s="7" customFormat="1" x14ac:dyDescent="0.3">
      <c r="A132" s="4"/>
    </row>
    <row r="133" spans="1:1" s="7" customFormat="1" x14ac:dyDescent="0.3">
      <c r="A133" s="4"/>
    </row>
    <row r="134" spans="1:1" s="7" customFormat="1" x14ac:dyDescent="0.3">
      <c r="A134" s="4"/>
    </row>
    <row r="135" spans="1:1" s="7" customFormat="1" x14ac:dyDescent="0.3">
      <c r="A135" s="4"/>
    </row>
  </sheetData>
  <sheetProtection sheet="1" objects="1" scenarios="1" autoFilter="0" pivotTables="0"/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1E48B58A68BE64E9120D347E3E06B3A" ma:contentTypeVersion="19" ma:contentTypeDescription="Crie um novo documento." ma:contentTypeScope="" ma:versionID="2f90046ec77328b7f86417d2e03b3d33">
  <xsd:schema xmlns:xsd="http://www.w3.org/2001/XMLSchema" xmlns:xs="http://www.w3.org/2001/XMLSchema" xmlns:p="http://schemas.microsoft.com/office/2006/metadata/properties" xmlns:ns2="851b35d3-0456-4d6a-bc2f-da927e91d158" xmlns:ns3="19483571-f922-4e8e-9c1c-26f0a2252132" targetNamespace="http://schemas.microsoft.com/office/2006/metadata/properties" ma:root="true" ma:fieldsID="c815006ac2d4f05ee97fdd57e40d8e38" ns2:_="" ns3:_="">
    <xsd:import namespace="851b35d3-0456-4d6a-bc2f-da927e91d158"/>
    <xsd:import namespace="19483571-f922-4e8e-9c1c-26f0a225213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1b35d3-0456-4d6a-bc2f-da927e91d15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0" nillable="true" ma:taxonomy="true" ma:internalName="lcf76f155ced4ddcb4097134ff3c332f" ma:taxonomyFieldName="MediaServiceImageTags" ma:displayName="Marcações de imagem" ma:readOnly="false" ma:fieldId="{5cf76f15-5ced-4ddc-b409-7134ff3c332f}" ma:taxonomyMulti="true" ma:sspId="44a7fbd4-9dae-4371-bb8c-f658cfc5cb1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3" nillable="true" ma:displayName="Location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483571-f922-4e8e-9c1c-26f0a225213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a4ca5b0e-bf34-4fb2-bc21-1657b419a556}" ma:internalName="TaxCatchAll" ma:showField="CatchAllData" ma:web="19483571-f922-4e8e-9c1c-26f0a225213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51b35d3-0456-4d6a-bc2f-da927e91d158">
      <Terms xmlns="http://schemas.microsoft.com/office/infopath/2007/PartnerControls"/>
    </lcf76f155ced4ddcb4097134ff3c332f>
    <TaxCatchAll xmlns="19483571-f922-4e8e-9c1c-26f0a225213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6A6278B-0476-46CE-815A-3F41F437115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1b35d3-0456-4d6a-bc2f-da927e91d158"/>
    <ds:schemaRef ds:uri="19483571-f922-4e8e-9c1c-26f0a225213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99037E4-A6E4-45D3-B93A-3D2B6A0C2B33}">
  <ds:schemaRefs>
    <ds:schemaRef ds:uri="http://schemas.microsoft.com/office/2006/metadata/properties"/>
    <ds:schemaRef ds:uri="http://schemas.microsoft.com/office/infopath/2007/PartnerControls"/>
    <ds:schemaRef ds:uri="851b35d3-0456-4d6a-bc2f-da927e91d158"/>
    <ds:schemaRef ds:uri="19483571-f922-4e8e-9c1c-26f0a2252132"/>
  </ds:schemaRefs>
</ds:datastoreItem>
</file>

<file path=customXml/itemProps3.xml><?xml version="1.0" encoding="utf-8"?>
<ds:datastoreItem xmlns:ds="http://schemas.openxmlformats.org/officeDocument/2006/customXml" ds:itemID="{B26109AA-4A63-4ABA-9238-1315B3F7EEA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A̳ssets</vt:lpstr>
      <vt:lpstr>B̳ases</vt:lpstr>
      <vt:lpstr>C̳álculos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Hello</dc:creator>
  <cp:lastModifiedBy>Fellipe Lima</cp:lastModifiedBy>
  <dcterms:created xsi:type="dcterms:W3CDTF">2024-12-19T13:13:10Z</dcterms:created>
  <dcterms:modified xsi:type="dcterms:W3CDTF">2025-06-26T23:18:22Z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0x01010001E48B58A68BE64E9120D347E3E06B3A</vt:lpwstr>
  </property>
</Properties>
</file>